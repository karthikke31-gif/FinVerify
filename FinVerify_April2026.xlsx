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ed_Data" sheetId="2" r:id="rId5"/>
    <sheet state="visible" name="Pivot_Analysis" sheetId="3" r:id="rId6"/>
    <sheet state="visible" name="Actual_Pivot_Table" sheetId="4" r:id="rId7"/>
    <sheet state="visible" name="Dashboard" sheetId="5" r:id="rId8"/>
    <sheet state="visible" name="Executive_Summary" sheetId="6" r:id="rId9"/>
  </sheets>
  <definedNames/>
  <calcPr/>
  <extLst>
    <ext uri="GoogleSheetsCustomDataVersion2">
      <go:sheetsCustomData xmlns:go="http://customooxmlschemas.google.com/" r:id="rId10" roundtripDataChecksum="RZlrNucTLxILp4XPTL4a2k4rF/jRNn0Amznb6IbAnNg="/>
    </ext>
  </extLst>
</workbook>
</file>

<file path=xl/sharedStrings.xml><?xml version="1.0" encoding="utf-8"?>
<sst xmlns="http://schemas.openxmlformats.org/spreadsheetml/2006/main" count="483" uniqueCount="94">
  <si>
    <t>FinVerify – Raw Vendor Performance Data  |  April 2026</t>
  </si>
  <si>
    <t>Date</t>
  </si>
  <si>
    <t>Acquisition_Channel</t>
  </si>
  <si>
    <t>Initiated_KYC_Count</t>
  </si>
  <si>
    <t>API_Response_Time_ms</t>
  </si>
  <si>
    <t>System_Errors</t>
  </si>
  <si>
    <t>Vendor_Approved_Count</t>
  </si>
  <si>
    <t>Manual_Review_Triggered_Count</t>
  </si>
  <si>
    <t>2026-04-01</t>
  </si>
  <si>
    <t>Organic</t>
  </si>
  <si>
    <t>Paid Ads</t>
  </si>
  <si>
    <t>Referral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</si>
  <si>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</si>
  <si>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</si>
  <si>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</si>
  <si>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</si>
  <si>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</si>
  <si>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</si>
  <si>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</si>
  <si>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</si>
  <si>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</si>
  <si>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</si>
  <si>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</si>
  <si>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</si>
  <si>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</si>
  <si>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</si>
  <si>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</si>
  <si>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</si>
  <si>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</si>
  <si>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</si>
  <si>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</si>
  <si>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</si>
  <si>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</si>
  <si>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</si>
  <si>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</si>
  <si>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</si>
  <si>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</si>
  <si>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</si>
  <si>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</si>
  <si>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</si>
  <si>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</si>
  <si>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FinVerify | Cleaned Data</t>
  </si>
  <si>
    <t>Week</t>
  </si>
  <si>
    <t>Pass_Rate</t>
  </si>
  <si>
    <t>Manual_Review_Rate</t>
  </si>
  <si>
    <t>Channel × Week — Avg Pass Rate &amp; Manual Review Rate</t>
  </si>
  <si>
    <t>Formulas reference Cleaned_Data live — values update automatically if source data changes</t>
  </si>
  <si>
    <t>Acquisition Channel</t>
  </si>
  <si>
    <t>Days in Week</t>
  </si>
  <si>
    <t>Avg Pass Rate</t>
  </si>
  <si>
    <t>Avg Manual Review Rate</t>
  </si>
  <si>
    <t>Avg API Response (ms)</t>
  </si>
  <si>
    <t xml:space="preserve">  Organic — Monthly Avg</t>
  </si>
  <si>
    <t>All</t>
  </si>
  <si>
    <t xml:space="preserve">  Paid Ads — Monthly Avg</t>
  </si>
  <si>
    <t xml:space="preserve">  Referral — Monthly Avg</t>
  </si>
  <si>
    <t>Pivot Table — Pass Rate &amp; Manual Review Rate by Channel and Week</t>
  </si>
  <si>
    <t>Values: Average Pass Rate  |  Average Manual Review Rate  |  Rows: Acquisition Channel  |  Columns: Week Number</t>
  </si>
  <si>
    <t>Channel / Metric</t>
  </si>
  <si>
    <t>Week 14</t>
  </si>
  <si>
    <t>Week 15</t>
  </si>
  <si>
    <t>Week 16</t>
  </si>
  <si>
    <t>Week 17</t>
  </si>
  <si>
    <t>Week 18</t>
  </si>
  <si>
    <t>Grand Avg</t>
  </si>
  <si>
    <t>Grand Total / Avg</t>
  </si>
  <si>
    <t>Note: Grand Total row shows Average Pass Rate across all channels for each week. For a manual review of Manual Review Rate by week, see the Pivot_Analysis sheet.</t>
  </si>
  <si>
    <t>FinVerify KYC Performance Dashboard  |  April 2026</t>
  </si>
  <si>
    <t>Combo Chart: Daily KYC Volume (bars, left axis)  vs  API Response Time ms (line, right axis)</t>
  </si>
  <si>
    <t>Total KYC Initiated</t>
  </si>
  <si>
    <t>Total Approvals</t>
  </si>
  <si>
    <t>Overall Pass Rate</t>
  </si>
  <si>
    <t>Total System Errors</t>
  </si>
  <si>
    <t>Manual Review Rate</t>
  </si>
  <si>
    <t>Chart Source Data (SUMIF / AVERAGEIF — linked from Cleaned_Data)</t>
  </si>
  <si>
    <t>FinVerify KYC Performance — Executive Summary</t>
  </si>
  <si>
    <t>📊  Key Findings</t>
  </si>
  <si>
    <t>①</t>
  </si>
  <si>
    <t>API Latency Spike (Apr 12–15): Response times surged from a typical ~450–580 ms to over 9,100 ms on Apr 14 — a ~16× degradation. System errors ballooned over the same period (e.g., Paid Ads recorded 145 errors on Apr 14 vs a normal 3–8). This strongly suggests a major FinVerify vendor incident or infrastructure failure during this window.</t>
  </si>
  <si>
    <t>②</t>
  </si>
  <si>
    <t>Approval Volume Collapse During Outage: Daily approvals for Paid Ads fell from ~234 (Apr 4) to just 58 (Apr 14) — a ~75% drop. Organic approvals declined from ~121 to 31. Recovery was visible from Apr 16 with API times returning to ~650–720 ms, strongly suggesting the vendor issue was resolved by that date.</t>
  </si>
  <si>
    <t>③</t>
  </si>
  <si>
    <t>Referral is the Cleanest Acquisition Channel: Referral users consistently delivered the highest Pass Rate (~86–88%) and the lowest Manual Review Rate (~9–11%) across all weeks. Organic ranked second. Paid Ads generated the highest raw volume but carried ~19–21% manual review rates and the lowest pass rates, indicating potential targeting misalignment or lower document-readiness among that cohort.</t>
  </si>
  <si>
    <t>④</t>
  </si>
  <si>
    <t>API Latency Correlates with System Errors and Onboarding Performance: The combo chart and daily data both show that spikes in API_Response_Time_ms closely coincide with spikes in System_Errors and drops in KYC volume. The data strongly suggests a relationship between API latency, system errors, and onboarding performance — though further investigation would be needed to confirm causation vs correlation.</t>
  </si>
  <si>
    <t>✅  Recommendations</t>
  </si>
  <si>
    <t>1.</t>
  </si>
  <si>
    <t>Configure API Latency Alerts: Set a real-time alert when API response time exceeds 1,000 ms (p95). Escalate automatically to engineering and the FinVerify vendor if sustained for more than 2 minutes. The Apr 12–15 outage lasted four days with no visible automated detection — this is an operational gap that must be closed before the next vendor incident.</t>
  </si>
  <si>
    <t>2.</t>
  </si>
  <si>
    <t>Prioritise Referral as the Primary Growth Channel: Referral users pass KYC at the highest rate with minimal manual review overhead. Incremental budget should be reallocated toward referral incentive programmes (e.g., 'Refer a Friend' bonuses), directly reducing operational cost-per-verified-user.</t>
  </si>
  <si>
    <t>3.</t>
  </si>
  <si>
    <t>Audit Paid Ads Targeting Quality: The ~19–21% manual review rate for Paid Ads is nearly double that of Referral. Run a cohort analysis to identify which creatives, demographics, or landing pages produce the poorest KYC outcomes, and exclude or re-target those segments to improve first-attempt pass rates.</t>
  </si>
  <si>
    <t>4.</t>
  </si>
  <si>
    <t>Implement Async KYC with Webhook Notifications: To eliminate indefinite loading screens during API latency spikes, move to a webhook-based async model — show users 'We are verifying your documents; we will notify you.' This decouples user experience from API performance, prevents outage-driven abandonment, and enables accurate measurement of async re-engagement rates.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</si>
</sst>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yy"/>
    <numFmt numFmtId="165" formatCode="0.0%"/>
    <numFmt numFmtId="166" formatCode="#,##0.0"/>
  </numFmts>
  <fonts count="26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3.0"/>
      <color rgb="FFFFFFFF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sz val="11.0"/>
      <color theme="1"/>
      <name val="Calibri"/>
    </font>
    <font>
      <sz val="10.0"/>
      <color rgb="FF1A5276"/>
      <name val="Arial"/>
    </font>
    <font>
      <sz val="10.0"/>
      <color rgb="FF6E2FA0"/>
      <name val="Arial"/>
    </font>
    <font>
      <b/>
      <sz val="11.0"/>
      <color rgb="FFFFFFFF"/>
      <name val="Arial"/>
    </font>
    <font>
      <b/>
      <sz val="16.0"/>
      <color rgb="FFFFFFFF"/>
      <name val="Arial"/>
    </font>
    <font>
      <i/>
      <sz val="10.0"/>
      <color rgb="FF595959"/>
      <name val="Arial"/>
    </font>
    <font>
      <b/>
      <sz val="9.0"/>
      <color rgb="FFFFFFFF"/>
      <name val="Arial"/>
    </font>
    <font>
      <b/>
      <sz val="18.0"/>
      <color rgb="FF2E75B6"/>
      <name val="Arial"/>
    </font>
    <font>
      <b/>
      <sz val="18.0"/>
      <color rgb="FF1A8C57"/>
      <name val="Arial"/>
    </font>
    <font>
      <b/>
      <sz val="18.0"/>
      <color rgb="FF17A589"/>
      <name val="Arial"/>
    </font>
    <font>
      <b/>
      <sz val="18.0"/>
      <color rgb="FFE67E22"/>
      <name val="Arial"/>
    </font>
    <font>
      <b/>
      <sz val="18.0"/>
      <color rgb="FF8E44AD"/>
      <name val="Arial"/>
    </font>
    <font>
      <b/>
      <sz val="18.0"/>
      <color rgb="FFC0392B"/>
      <name val="Arial"/>
    </font>
    <font>
      <b/>
      <sz val="9.0"/>
      <color rgb="FF595959"/>
      <name val="Arial"/>
    </font>
    <font>
      <sz val="9.0"/>
      <color theme="1"/>
      <name val="Arial"/>
    </font>
    <font>
      <b/>
      <sz val="13.0"/>
      <color rgb="FF2E75B6"/>
      <name val="Arial"/>
    </font>
    <font>
      <sz val="11.0"/>
      <color theme="1"/>
      <name val="Arial"/>
    </font>
    <font>
      <i/>
      <sz val="8.0"/>
      <color rgb="FF888888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F2F2F2"/>
        <bgColor rgb="FFF2F2F2"/>
      </patternFill>
    </fill>
    <fill>
      <patternFill patternType="solid">
        <fgColor rgb="FFE6B8AF"/>
        <bgColor rgb="FFE6B8AF"/>
      </patternFill>
    </fill>
    <fill>
      <patternFill patternType="solid">
        <fgColor rgb="FF6FA8DC"/>
        <bgColor rgb="FF6FA8DC"/>
      </patternFill>
    </fill>
    <fill>
      <patternFill patternType="solid">
        <fgColor rgb="FF17A589"/>
        <bgColor rgb="FF17A589"/>
      </patternFill>
    </fill>
    <fill>
      <patternFill patternType="solid">
        <fgColor rgb="FF1A5276"/>
        <bgColor rgb="FF1A5276"/>
      </patternFill>
    </fill>
    <fill>
      <patternFill patternType="solid">
        <fgColor rgb="FF6E2FA0"/>
        <bgColor rgb="FF6E2FA0"/>
      </patternFill>
    </fill>
    <fill>
      <patternFill patternType="solid">
        <fgColor rgb="FFE8F8F5"/>
        <bgColor rgb="FFE8F8F5"/>
      </patternFill>
    </fill>
    <fill>
      <patternFill patternType="solid">
        <fgColor rgb="FFEAF2FF"/>
        <bgColor rgb="FFEAF2FF"/>
      </patternFill>
    </fill>
    <fill>
      <patternFill patternType="solid">
        <fgColor rgb="FFF5EEF8"/>
        <bgColor rgb="FFF5EEF8"/>
      </patternFill>
    </fill>
    <fill>
      <patternFill patternType="solid">
        <fgColor rgb="FFF4CCCC"/>
        <bgColor rgb="FFF4CCCC"/>
      </patternFill>
    </fill>
    <fill>
      <patternFill patternType="solid">
        <fgColor rgb="FF2E75B6"/>
        <bgColor rgb="FF2E75B6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EAFAF1"/>
        <bgColor rgb="FFEAFAF1"/>
      </patternFill>
    </fill>
    <fill>
      <patternFill patternType="solid">
        <fgColor rgb="FF1F3864"/>
        <bgColor rgb="FF1F3864"/>
      </patternFill>
    </fill>
    <fill>
      <patternFill patternType="solid">
        <fgColor rgb="FF2980B9"/>
        <bgColor rgb="FF2980B9"/>
      </patternFill>
    </fill>
    <fill>
      <patternFill patternType="solid">
        <fgColor rgb="FFD6EAF8"/>
        <bgColor rgb="FFD6EAF8"/>
      </patternFill>
    </fill>
    <fill>
      <patternFill patternType="solid">
        <fgColor rgb="FFD4AC0D"/>
        <bgColor rgb="FFD4AC0D"/>
      </patternFill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1A8C57"/>
        <bgColor rgb="FF1A8C57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  <fill>
      <patternFill patternType="solid">
        <fgColor rgb="FFF0F7FF"/>
        <bgColor rgb="FFF0F7FF"/>
      </patternFill>
    </fill>
    <fill>
      <patternFill patternType="solid">
        <fgColor rgb="FFFFFFFF"/>
        <bgColor rgb="FFFFFFFF"/>
      </patternFill>
    </fill>
    <fill>
      <patternFill patternType="solid">
        <fgColor rgb="FFF0FBF7"/>
        <bgColor rgb="FFF0FBF7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4" fontId="4" numFmtId="164" xfId="0" applyAlignment="1" applyBorder="1" applyFill="1" applyFont="1" applyNumberForma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6" fontId="3" numFmtId="0" xfId="0" applyAlignment="1" applyBorder="1" applyFill="1" applyFont="1">
      <alignment horizontal="center" shrinkToFit="0" vertical="center" wrapText="1"/>
    </xf>
    <xf borderId="8" fillId="7" fontId="3" numFmtId="0" xfId="0" applyAlignment="1" applyBorder="1" applyFill="1" applyFont="1">
      <alignment horizontal="center" shrinkToFit="0" vertical="center" wrapText="1"/>
    </xf>
    <xf borderId="8" fillId="8" fontId="3" numFmtId="0" xfId="0" applyAlignment="1" applyBorder="1" applyFill="1" applyFont="1">
      <alignment horizontal="center" shrinkToFit="0" vertical="center" wrapText="1"/>
    </xf>
    <xf borderId="8" fillId="9" fontId="3" numFmtId="0" xfId="0" applyAlignment="1" applyBorder="1" applyFill="1" applyFont="1">
      <alignment horizontal="center" shrinkToFit="0" vertical="center" wrapText="1"/>
    </xf>
    <xf borderId="8" fillId="0" fontId="4" numFmtId="164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center" vertical="center"/>
    </xf>
    <xf borderId="8" fillId="0" fontId="4" numFmtId="165" xfId="0" applyAlignment="1" applyBorder="1" applyFont="1" applyNumberFormat="1">
      <alignment horizontal="center" vertical="center"/>
    </xf>
    <xf borderId="8" fillId="4" fontId="4" numFmtId="164" xfId="0" applyAlignment="1" applyBorder="1" applyFont="1" applyNumberFormat="1">
      <alignment horizontal="center" vertical="center"/>
    </xf>
    <xf borderId="8" fillId="4" fontId="4" numFmtId="0" xfId="0" applyAlignment="1" applyBorder="1" applyFont="1">
      <alignment horizontal="left" vertical="center"/>
    </xf>
    <xf borderId="8" fillId="4" fontId="4" numFmtId="0" xfId="0" applyAlignment="1" applyBorder="1" applyFont="1">
      <alignment horizontal="center" vertical="center"/>
    </xf>
    <xf borderId="8" fillId="10" fontId="4" numFmtId="0" xfId="0" applyAlignment="1" applyBorder="1" applyFill="1" applyFont="1">
      <alignment horizontal="center" vertical="center"/>
    </xf>
    <xf borderId="8" fillId="11" fontId="4" numFmtId="165" xfId="0" applyAlignment="1" applyBorder="1" applyFill="1" applyFont="1" applyNumberFormat="1">
      <alignment horizontal="center" vertical="center"/>
    </xf>
    <xf borderId="8" fillId="12" fontId="4" numFmtId="165" xfId="0" applyAlignment="1" applyBorder="1" applyFill="1" applyFont="1" applyNumberFormat="1">
      <alignment horizontal="center" vertical="center"/>
    </xf>
    <xf borderId="5" fillId="1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/>
    </xf>
    <xf borderId="4" fillId="14" fontId="3" numFmtId="0" xfId="0" applyAlignment="1" applyBorder="1" applyFill="1" applyFont="1">
      <alignment horizontal="center" shrinkToFit="0" vertical="center" wrapText="1"/>
    </xf>
    <xf borderId="4" fillId="15" fontId="7" numFmtId="0" xfId="0" applyAlignment="1" applyBorder="1" applyFill="1" applyFont="1">
      <alignment horizontal="left" vertical="center"/>
    </xf>
    <xf borderId="4" fillId="15" fontId="8" numFmtId="0" xfId="0" applyAlignment="1" applyBorder="1" applyFont="1">
      <alignment horizontal="center" vertical="center"/>
    </xf>
    <xf borderId="4" fillId="15" fontId="9" numFmtId="165" xfId="0" applyAlignment="1" applyBorder="1" applyFont="1" applyNumberFormat="1">
      <alignment horizontal="center" vertical="center"/>
    </xf>
    <xf borderId="4" fillId="15" fontId="10" numFmtId="165" xfId="0" applyAlignment="1" applyBorder="1" applyFont="1" applyNumberFormat="1">
      <alignment horizontal="center" vertical="center"/>
    </xf>
    <xf borderId="4" fillId="15" fontId="8" numFmtId="3" xfId="0" applyAlignment="1" applyBorder="1" applyFont="1" applyNumberFormat="1">
      <alignment horizontal="center" vertical="center"/>
    </xf>
    <xf borderId="4" fillId="16" fontId="7" numFmtId="0" xfId="0" applyAlignment="1" applyBorder="1" applyFill="1" applyFont="1">
      <alignment horizontal="left" vertical="center"/>
    </xf>
    <xf borderId="4" fillId="16" fontId="8" numFmtId="0" xfId="0" applyAlignment="1" applyBorder="1" applyFont="1">
      <alignment horizontal="center" vertical="center"/>
    </xf>
    <xf borderId="4" fillId="16" fontId="9" numFmtId="165" xfId="0" applyAlignment="1" applyBorder="1" applyFont="1" applyNumberFormat="1">
      <alignment horizontal="center" vertical="center"/>
    </xf>
    <xf borderId="4" fillId="16" fontId="10" numFmtId="165" xfId="0" applyAlignment="1" applyBorder="1" applyFont="1" applyNumberFormat="1">
      <alignment horizontal="center" vertical="center"/>
    </xf>
    <xf borderId="4" fillId="16" fontId="8" numFmtId="3" xfId="0" applyAlignment="1" applyBorder="1" applyFont="1" applyNumberFormat="1">
      <alignment horizontal="center" vertical="center"/>
    </xf>
    <xf borderId="4" fillId="17" fontId="7" numFmtId="0" xfId="0" applyAlignment="1" applyBorder="1" applyFill="1" applyFont="1">
      <alignment horizontal="left" vertical="center"/>
    </xf>
    <xf borderId="4" fillId="17" fontId="8" numFmtId="0" xfId="0" applyAlignment="1" applyBorder="1" applyFont="1">
      <alignment horizontal="center" vertical="center"/>
    </xf>
    <xf borderId="4" fillId="17" fontId="9" numFmtId="165" xfId="0" applyAlignment="1" applyBorder="1" applyFont="1" applyNumberFormat="1">
      <alignment horizontal="center" vertical="center"/>
    </xf>
    <xf borderId="4" fillId="17" fontId="10" numFmtId="165" xfId="0" applyAlignment="1" applyBorder="1" applyFont="1" applyNumberFormat="1">
      <alignment horizontal="center" vertical="center"/>
    </xf>
    <xf borderId="4" fillId="17" fontId="8" numFmtId="3" xfId="0" applyAlignment="1" applyBorder="1" applyFont="1" applyNumberFormat="1">
      <alignment horizontal="center" vertical="center"/>
    </xf>
    <xf borderId="4" fillId="5" fontId="3" numFmtId="0" xfId="0" applyAlignment="1" applyBorder="1" applyFont="1">
      <alignment horizontal="left" vertical="center"/>
    </xf>
    <xf borderId="4" fillId="5" fontId="3" numFmtId="0" xfId="0" applyAlignment="1" applyBorder="1" applyFont="1">
      <alignment horizontal="center" vertical="center"/>
    </xf>
    <xf borderId="4" fillId="18" fontId="3" numFmtId="0" xfId="0" applyAlignment="1" applyBorder="1" applyFill="1" applyFont="1">
      <alignment horizontal="center" vertical="center"/>
    </xf>
    <xf borderId="4" fillId="18" fontId="3" numFmtId="165" xfId="0" applyAlignment="1" applyBorder="1" applyFont="1" applyNumberFormat="1">
      <alignment horizontal="center" vertical="center"/>
    </xf>
    <xf borderId="4" fillId="18" fontId="3" numFmtId="3" xfId="0" applyAlignment="1" applyBorder="1" applyFont="1" applyNumberFormat="1">
      <alignment horizontal="center" vertical="center"/>
    </xf>
    <xf borderId="5" fillId="5" fontId="5" numFmtId="0" xfId="0" applyAlignment="1" applyBorder="1" applyFont="1">
      <alignment horizontal="center" vertical="center"/>
    </xf>
    <xf borderId="8" fillId="18" fontId="3" numFmtId="0" xfId="0" applyAlignment="1" applyBorder="1" applyFont="1">
      <alignment horizontal="center" vertical="center"/>
    </xf>
    <xf borderId="8" fillId="14" fontId="3" numFmtId="0" xfId="0" applyAlignment="1" applyBorder="1" applyFont="1">
      <alignment horizontal="center" vertical="center"/>
    </xf>
    <xf borderId="9" fillId="19" fontId="11" numFmtId="0" xfId="0" applyAlignment="1" applyBorder="1" applyFill="1" applyFont="1">
      <alignment horizontal="center" vertical="center"/>
    </xf>
    <xf borderId="8" fillId="20" fontId="9" numFmtId="165" xfId="0" applyAlignment="1" applyBorder="1" applyFill="1" applyFont="1" applyNumberFormat="1">
      <alignment horizontal="center" vertical="center"/>
    </xf>
    <xf borderId="8" fillId="19" fontId="3" numFmtId="165" xfId="0" applyAlignment="1" applyBorder="1" applyFont="1" applyNumberFormat="1">
      <alignment horizontal="center" vertical="center"/>
    </xf>
    <xf borderId="10" fillId="0" fontId="2" numFmtId="0" xfId="0" applyBorder="1" applyFont="1"/>
    <xf borderId="8" fillId="20" fontId="10" numFmtId="165" xfId="0" applyAlignment="1" applyBorder="1" applyFont="1" applyNumberFormat="1">
      <alignment horizontal="center" vertical="center"/>
    </xf>
    <xf borderId="9" fillId="21" fontId="11" numFmtId="0" xfId="0" applyAlignment="1" applyBorder="1" applyFill="1" applyFont="1">
      <alignment horizontal="center" vertical="center"/>
    </xf>
    <xf borderId="8" fillId="16" fontId="9" numFmtId="165" xfId="0" applyAlignment="1" applyBorder="1" applyFont="1" applyNumberFormat="1">
      <alignment horizontal="center" vertical="center"/>
    </xf>
    <xf borderId="8" fillId="21" fontId="3" numFmtId="165" xfId="0" applyAlignment="1" applyBorder="1" applyFont="1" applyNumberFormat="1">
      <alignment horizontal="center" vertical="center"/>
    </xf>
    <xf borderId="8" fillId="16" fontId="10" numFmtId="165" xfId="0" applyAlignment="1" applyBorder="1" applyFont="1" applyNumberFormat="1">
      <alignment horizontal="center" vertical="center"/>
    </xf>
    <xf borderId="9" fillId="22" fontId="11" numFmtId="0" xfId="0" applyAlignment="1" applyBorder="1" applyFill="1" applyFont="1">
      <alignment horizontal="center" vertical="center"/>
    </xf>
    <xf borderId="8" fillId="23" fontId="9" numFmtId="165" xfId="0" applyAlignment="1" applyBorder="1" applyFill="1" applyFont="1" applyNumberFormat="1">
      <alignment horizontal="center" vertical="center"/>
    </xf>
    <xf borderId="8" fillId="22" fontId="3" numFmtId="165" xfId="0" applyAlignment="1" applyBorder="1" applyFont="1" applyNumberFormat="1">
      <alignment horizontal="center" vertical="center"/>
    </xf>
    <xf borderId="8" fillId="23" fontId="10" numFmtId="165" xfId="0" applyAlignment="1" applyBorder="1" applyFont="1" applyNumberFormat="1">
      <alignment horizontal="center" vertical="center"/>
    </xf>
    <xf borderId="8" fillId="18" fontId="3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shrinkToFit="0" wrapText="1"/>
    </xf>
    <xf borderId="5" fillId="5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8" fillId="14" fontId="14" numFmtId="0" xfId="0" applyAlignment="1" applyBorder="1" applyFont="1">
      <alignment horizontal="center" vertical="center"/>
    </xf>
    <xf borderId="8" fillId="24" fontId="14" numFmtId="0" xfId="0" applyAlignment="1" applyBorder="1" applyFill="1" applyFont="1">
      <alignment horizontal="center" vertical="center"/>
    </xf>
    <xf borderId="8" fillId="7" fontId="14" numFmtId="0" xfId="0" applyAlignment="1" applyBorder="1" applyFont="1">
      <alignment horizontal="center" vertical="center"/>
    </xf>
    <xf borderId="8" fillId="25" fontId="14" numFmtId="0" xfId="0" applyAlignment="1" applyBorder="1" applyFill="1" applyFont="1">
      <alignment horizontal="center" vertical="center"/>
    </xf>
    <xf borderId="8" fillId="26" fontId="14" numFmtId="0" xfId="0" applyAlignment="1" applyBorder="1" applyFill="1" applyFont="1">
      <alignment horizontal="center" vertical="center"/>
    </xf>
    <xf borderId="8" fillId="27" fontId="14" numFmtId="0" xfId="0" applyAlignment="1" applyBorder="1" applyFill="1" applyFont="1">
      <alignment horizontal="center" vertical="center"/>
    </xf>
    <xf borderId="8" fillId="0" fontId="15" numFmtId="3" xfId="0" applyAlignment="1" applyBorder="1" applyFont="1" applyNumberFormat="1">
      <alignment horizontal="center" vertical="center"/>
    </xf>
    <xf borderId="8" fillId="0" fontId="16" numFmtId="3" xfId="0" applyAlignment="1" applyBorder="1" applyFont="1" applyNumberFormat="1">
      <alignment horizontal="center" vertical="center"/>
    </xf>
    <xf borderId="8" fillId="0" fontId="17" numFmtId="165" xfId="0" applyAlignment="1" applyBorder="1" applyFont="1" applyNumberFormat="1">
      <alignment horizontal="center" vertical="center"/>
    </xf>
    <xf borderId="8" fillId="0" fontId="18" numFmtId="166" xfId="0" applyAlignment="1" applyBorder="1" applyFont="1" applyNumberFormat="1">
      <alignment horizontal="center" vertical="center"/>
    </xf>
    <xf borderId="8" fillId="0" fontId="19" numFmtId="3" xfId="0" applyAlignment="1" applyBorder="1" applyFont="1" applyNumberFormat="1">
      <alignment horizontal="center" vertical="center"/>
    </xf>
    <xf borderId="8" fillId="0" fontId="20" numFmtId="165" xfId="0" applyAlignment="1" applyBorder="1" applyFont="1" applyNumberFormat="1">
      <alignment horizontal="center" vertical="center"/>
    </xf>
    <xf borderId="0" fillId="0" fontId="21" numFmtId="0" xfId="0" applyFont="1"/>
    <xf borderId="8" fillId="4" fontId="22" numFmtId="16" xfId="0" applyAlignment="1" applyBorder="1" applyFont="1" applyNumberFormat="1">
      <alignment horizontal="center"/>
    </xf>
    <xf borderId="8" fillId="4" fontId="22" numFmtId="3" xfId="0" applyAlignment="1" applyBorder="1" applyFont="1" applyNumberFormat="1">
      <alignment horizontal="center"/>
    </xf>
    <xf borderId="8" fillId="0" fontId="22" numFmtId="16" xfId="0" applyAlignment="1" applyBorder="1" applyFont="1" applyNumberFormat="1">
      <alignment horizontal="center"/>
    </xf>
    <xf borderId="8" fillId="0" fontId="22" numFmtId="3" xfId="0" applyAlignment="1" applyBorder="1" applyFont="1" applyNumberFormat="1">
      <alignment horizontal="center"/>
    </xf>
    <xf borderId="5" fillId="14" fontId="1" numFmtId="0" xfId="0" applyAlignment="1" applyBorder="1" applyFont="1">
      <alignment horizontal="left" vertical="center"/>
    </xf>
    <xf borderId="8" fillId="28" fontId="23" numFmtId="0" xfId="0" applyAlignment="1" applyBorder="1" applyFill="1" applyFont="1">
      <alignment horizontal="center" vertical="top"/>
    </xf>
    <xf borderId="11" fillId="28" fontId="24" numFmtId="0" xfId="0" applyAlignment="1" applyBorder="1" applyFont="1">
      <alignment horizontal="left" shrinkToFit="0" vertical="top" wrapText="1"/>
    </xf>
    <xf borderId="12" fillId="0" fontId="2" numFmtId="0" xfId="0" applyBorder="1" applyFont="1"/>
    <xf borderId="13" fillId="0" fontId="2" numFmtId="0" xfId="0" applyBorder="1" applyFont="1"/>
    <xf borderId="8" fillId="29" fontId="23" numFmtId="0" xfId="0" applyAlignment="1" applyBorder="1" applyFill="1" applyFont="1">
      <alignment horizontal="center" vertical="top"/>
    </xf>
    <xf borderId="11" fillId="29" fontId="24" numFmtId="0" xfId="0" applyAlignment="1" applyBorder="1" applyFont="1">
      <alignment horizontal="left" shrinkToFit="0" vertical="top" wrapText="1"/>
    </xf>
    <xf borderId="5" fillId="7" fontId="1" numFmtId="0" xfId="0" applyAlignment="1" applyBorder="1" applyFont="1">
      <alignment horizontal="left" vertical="center"/>
    </xf>
    <xf borderId="8" fillId="30" fontId="23" numFmtId="0" xfId="0" applyAlignment="1" applyBorder="1" applyFill="1" applyFont="1">
      <alignment horizontal="center" vertical="top"/>
    </xf>
    <xf borderId="11" fillId="30" fontId="24" numFmtId="0" xfId="0" applyAlignment="1" applyBorder="1" applyFont="1">
      <alignment horizontal="left" shrinkToFit="0" vertical="top" wrapText="1"/>
    </xf>
    <xf borderId="0" fillId="0" fontId="2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Daily KYC Volume vs API Response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Initiated_KYC_Count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Dashboard!$A$10:$A$39</c:f>
            </c:strRef>
          </c:cat>
          <c:val>
            <c:numRef>
              <c:f>Dashboard!$B$10:$B$39</c:f>
              <c:numCache/>
            </c:numRef>
          </c:val>
        </c:ser>
        <c:axId val="644932535"/>
        <c:axId val="1873157841"/>
      </c:barChart>
      <c:lineChart>
        <c:varyColors val="0"/>
        <c:ser>
          <c:idx val="1"/>
          <c:order val="1"/>
          <c:tx>
            <c:v>API_Response_Time_ms</c:v>
          </c:tx>
          <c:spPr>
            <a:ln cmpd="sng" w="19050">
              <a:solidFill>
                <a:srgbClr val="E74C3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Dashboard!$A$10:$A$39</c:f>
            </c:strRef>
          </c:cat>
          <c:val>
            <c:numRef>
              <c:f>Dashboard!$C$10:$C$39</c:f>
              <c:numCache/>
            </c:numRef>
          </c:val>
          <c:smooth val="1"/>
        </c:ser>
        <c:axId val="644932535"/>
        <c:axId val="1873157841"/>
      </c:lineChart>
      <c:catAx>
        <c:axId val="644932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73157841"/>
      </c:catAx>
      <c:valAx>
        <c:axId val="1873157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Initiated KYC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493253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8858250" cy="5286375"/>
    <xdr:graphicFrame>
      <xdr:nvGraphicFramePr>
        <xdr:cNvPr id="17973850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4" width="22.0"/>
    <col customWidth="1" min="5" max="5" width="14.0"/>
    <col customWidth="1" min="6" max="6" width="24.0"/>
    <col customWidth="1" min="7" max="7" width="30.0"/>
    <col customWidth="1" min="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 t="s">
        <v>8</v>
      </c>
      <c r="B3" s="6" t="s">
        <v>9</v>
      </c>
      <c r="C3" s="7">
        <v>120.0</v>
      </c>
      <c r="D3" s="7">
        <v>450.0</v>
      </c>
      <c r="E3" s="7">
        <v>1.0</v>
      </c>
      <c r="F3" s="7">
        <v>98.0</v>
      </c>
      <c r="G3" s="7">
        <v>12.0</v>
      </c>
    </row>
    <row r="4">
      <c r="A4" s="8" t="s">
        <v>8</v>
      </c>
      <c r="B4" s="9" t="s">
        <v>10</v>
      </c>
      <c r="C4" s="10">
        <v>340.0</v>
      </c>
      <c r="D4" s="10">
        <v>480.0</v>
      </c>
      <c r="E4" s="10">
        <v>4.0</v>
      </c>
      <c r="F4" s="10">
        <v>221.0</v>
      </c>
      <c r="G4" s="10">
        <v>68.0</v>
      </c>
    </row>
    <row r="5">
      <c r="A5" s="5" t="s">
        <v>8</v>
      </c>
      <c r="B5" s="6" t="s">
        <v>11</v>
      </c>
      <c r="C5" s="7">
        <v>85.0</v>
      </c>
      <c r="D5" s="7">
        <v>420.0</v>
      </c>
      <c r="E5" s="7">
        <v>0.0</v>
      </c>
      <c r="F5" s="7">
        <v>72.0</v>
      </c>
      <c r="G5" s="7">
        <v>8.0</v>
      </c>
    </row>
    <row r="6">
      <c r="A6" s="8" t="s">
        <v>12</v>
      </c>
      <c r="B6" s="9" t="s">
        <v>9</v>
      </c>
      <c r="C6" s="10">
        <v>115.0</v>
      </c>
      <c r="D6" s="10">
        <v>460.0</v>
      </c>
      <c r="E6" s="10">
        <v>0.0</v>
      </c>
      <c r="F6" s="10">
        <v>92.0</v>
      </c>
      <c r="G6" s="10">
        <v>15.0</v>
      </c>
    </row>
    <row r="7">
      <c r="A7" s="5" t="s">
        <v>12</v>
      </c>
      <c r="B7" s="6" t="s">
        <v>10</v>
      </c>
      <c r="C7" s="7">
        <v>310.0</v>
      </c>
      <c r="D7" s="7">
        <v>510.0</v>
      </c>
      <c r="E7" s="7">
        <v>5.0</v>
      </c>
      <c r="F7" s="7">
        <v>205.0</v>
      </c>
      <c r="G7" s="7">
        <v>60.0</v>
      </c>
    </row>
    <row r="8">
      <c r="A8" s="8" t="s">
        <v>12</v>
      </c>
      <c r="B8" s="9" t="s">
        <v>11</v>
      </c>
      <c r="C8" s="10">
        <v>90.0</v>
      </c>
      <c r="D8" s="10">
        <v>440.0</v>
      </c>
      <c r="E8" s="10">
        <v>1.0</v>
      </c>
      <c r="F8" s="10">
        <v>78.0</v>
      </c>
      <c r="G8" s="10">
        <v>6.0</v>
      </c>
    </row>
    <row r="9">
      <c r="A9" s="5" t="s">
        <v>13</v>
      </c>
      <c r="B9" s="6" t="s">
        <v>9</v>
      </c>
      <c r="C9" s="7">
        <v>130.0</v>
      </c>
      <c r="D9" s="7">
        <v>480.0</v>
      </c>
      <c r="E9" s="7">
        <v>2.0</v>
      </c>
      <c r="F9" s="7">
        <v>104.0</v>
      </c>
      <c r="G9" s="7">
        <v>14.0</v>
      </c>
    </row>
    <row r="10">
      <c r="A10" s="8" t="s">
        <v>13</v>
      </c>
      <c r="B10" s="9" t="s">
        <v>10</v>
      </c>
      <c r="C10" s="10">
        <v>325.0</v>
      </c>
      <c r="D10" s="10">
        <v>490.0</v>
      </c>
      <c r="E10" s="10">
        <v>3.0</v>
      </c>
      <c r="F10" s="10">
        <v>211.0</v>
      </c>
      <c r="G10" s="10">
        <v>62.0</v>
      </c>
    </row>
    <row r="11">
      <c r="A11" s="5" t="s">
        <v>13</v>
      </c>
      <c r="B11" s="6" t="s">
        <v>11</v>
      </c>
      <c r="C11" s="7">
        <v>95.0</v>
      </c>
      <c r="D11" s="7">
        <v>430.0</v>
      </c>
      <c r="E11" s="7">
        <v>0.0</v>
      </c>
      <c r="F11" s="7">
        <v>81.0</v>
      </c>
      <c r="G11" s="7">
        <v>9.0</v>
      </c>
    </row>
    <row r="12">
      <c r="A12" s="8" t="s">
        <v>14</v>
      </c>
      <c r="B12" s="9" t="s">
        <v>9</v>
      </c>
      <c r="C12" s="10">
        <v>140.0</v>
      </c>
      <c r="D12" s="10">
        <v>520.0</v>
      </c>
      <c r="E12" s="10">
        <v>1.0</v>
      </c>
      <c r="F12" s="10">
        <v>112.0</v>
      </c>
      <c r="G12" s="10">
        <v>18.0</v>
      </c>
    </row>
    <row r="13">
      <c r="A13" s="5" t="s">
        <v>14</v>
      </c>
      <c r="B13" s="6" t="s">
        <v>10</v>
      </c>
      <c r="C13" s="7">
        <v>360.0</v>
      </c>
      <c r="D13" s="7">
        <v>550.0</v>
      </c>
      <c r="E13" s="7">
        <v>6.0</v>
      </c>
      <c r="F13" s="7">
        <v>234.0</v>
      </c>
      <c r="G13" s="7">
        <v>70.0</v>
      </c>
    </row>
    <row r="14">
      <c r="A14" s="8" t="s">
        <v>14</v>
      </c>
      <c r="B14" s="9" t="s">
        <v>11</v>
      </c>
      <c r="C14" s="10">
        <v>100.0</v>
      </c>
      <c r="D14" s="10">
        <v>460.0</v>
      </c>
      <c r="E14" s="10">
        <v>1.0</v>
      </c>
      <c r="F14" s="10">
        <v>84.0</v>
      </c>
      <c r="G14" s="10">
        <v>10.0</v>
      </c>
    </row>
    <row r="15">
      <c r="A15" s="5" t="s">
        <v>15</v>
      </c>
      <c r="B15" s="6" t="s">
        <v>9</v>
      </c>
      <c r="C15" s="7">
        <v>125.0</v>
      </c>
      <c r="D15" s="7">
        <v>470.0</v>
      </c>
      <c r="E15" s="7">
        <v>2.0</v>
      </c>
      <c r="F15" s="7">
        <v>101.0</v>
      </c>
      <c r="G15" s="7">
        <v>13.0</v>
      </c>
    </row>
    <row r="16">
      <c r="A16" s="8" t="s">
        <v>15</v>
      </c>
      <c r="B16" s="9" t="s">
        <v>10</v>
      </c>
      <c r="C16" s="10">
        <v>315.0</v>
      </c>
      <c r="D16" s="10">
        <v>480.0</v>
      </c>
      <c r="E16" s="10">
        <v>4.0</v>
      </c>
      <c r="F16" s="10">
        <v>208.0</v>
      </c>
      <c r="G16" s="10">
        <v>58.0</v>
      </c>
    </row>
    <row r="17">
      <c r="A17" s="5" t="s">
        <v>15</v>
      </c>
      <c r="B17" s="6" t="s">
        <v>11</v>
      </c>
      <c r="C17" s="7">
        <v>88.0</v>
      </c>
      <c r="D17" s="7">
        <v>410.0</v>
      </c>
      <c r="E17" s="7">
        <v>0.0</v>
      </c>
      <c r="F17" s="7">
        <v>74.0</v>
      </c>
      <c r="G17" s="7">
        <v>9.0</v>
      </c>
    </row>
    <row r="18">
      <c r="A18" s="8" t="s">
        <v>16</v>
      </c>
      <c r="B18" s="9" t="s">
        <v>9</v>
      </c>
      <c r="C18" s="10">
        <v>118.0</v>
      </c>
      <c r="D18" s="10">
        <v>440.0</v>
      </c>
      <c r="E18" s="10">
        <v>0.0</v>
      </c>
      <c r="F18" s="10">
        <v>96.0</v>
      </c>
      <c r="G18" s="10">
        <v>14.0</v>
      </c>
    </row>
    <row r="19">
      <c r="A19" s="5" t="s">
        <v>16</v>
      </c>
      <c r="B19" s="6" t="s">
        <v>10</v>
      </c>
      <c r="C19" s="7">
        <v>290.0</v>
      </c>
      <c r="D19" s="7">
        <v>460.0</v>
      </c>
      <c r="E19" s="7">
        <v>3.0</v>
      </c>
      <c r="F19" s="7">
        <v>191.0</v>
      </c>
      <c r="G19" s="7">
        <v>52.0</v>
      </c>
    </row>
    <row r="20">
      <c r="A20" s="8" t="s">
        <v>16</v>
      </c>
      <c r="B20" s="9" t="s">
        <v>11</v>
      </c>
      <c r="C20" s="10">
        <v>92.0</v>
      </c>
      <c r="D20" s="10">
        <v>430.0</v>
      </c>
      <c r="E20" s="10">
        <v>1.0</v>
      </c>
      <c r="F20" s="10">
        <v>80.0</v>
      </c>
      <c r="G20" s="10">
        <v>7.0</v>
      </c>
    </row>
    <row r="21" ht="15.75" customHeight="1">
      <c r="A21" s="5" t="s">
        <v>17</v>
      </c>
      <c r="B21" s="6" t="s">
        <v>9</v>
      </c>
      <c r="C21" s="7">
        <v>122.0</v>
      </c>
      <c r="D21" s="7">
        <v>450.0</v>
      </c>
      <c r="E21" s="7">
        <v>1.0</v>
      </c>
      <c r="F21" s="7">
        <v>100.0</v>
      </c>
      <c r="G21" s="7">
        <v>12.0</v>
      </c>
    </row>
    <row r="22" ht="15.75" customHeight="1">
      <c r="A22" s="8" t="s">
        <v>17</v>
      </c>
      <c r="B22" s="9" t="s">
        <v>10</v>
      </c>
      <c r="C22" s="10">
        <v>305.0</v>
      </c>
      <c r="D22" s="10">
        <v>470.0</v>
      </c>
      <c r="E22" s="10">
        <v>2.0</v>
      </c>
      <c r="F22" s="10">
        <v>201.0</v>
      </c>
      <c r="G22" s="10">
        <v>55.0</v>
      </c>
    </row>
    <row r="23" ht="15.75" customHeight="1">
      <c r="A23" s="5" t="s">
        <v>17</v>
      </c>
      <c r="B23" s="6" t="s">
        <v>11</v>
      </c>
      <c r="C23" s="7">
        <v>87.0</v>
      </c>
      <c r="D23" s="7">
        <v>420.0</v>
      </c>
      <c r="E23" s="7">
        <v>0.0</v>
      </c>
      <c r="F23" s="7">
        <v>75.0</v>
      </c>
      <c r="G23" s="7">
        <v>7.0</v>
      </c>
    </row>
    <row r="24" ht="15.75" customHeight="1">
      <c r="A24" s="8" t="s">
        <v>18</v>
      </c>
      <c r="B24" s="9" t="s">
        <v>9</v>
      </c>
      <c r="C24" s="10">
        <v>135.0</v>
      </c>
      <c r="D24" s="10">
        <v>460.0</v>
      </c>
      <c r="E24" s="10">
        <v>1.0</v>
      </c>
      <c r="F24" s="10">
        <v>110.0</v>
      </c>
      <c r="G24" s="10">
        <v>15.0</v>
      </c>
    </row>
    <row r="25" ht="15.75" customHeight="1">
      <c r="A25" s="5" t="s">
        <v>18</v>
      </c>
      <c r="B25" s="6" t="s">
        <v>10</v>
      </c>
      <c r="C25" s="7">
        <v>350.0</v>
      </c>
      <c r="D25" s="7">
        <v>510.0</v>
      </c>
      <c r="E25" s="7">
        <v>5.0</v>
      </c>
      <c r="F25" s="7">
        <v>224.0</v>
      </c>
      <c r="G25" s="7">
        <v>72.0</v>
      </c>
    </row>
    <row r="26" ht="15.75" customHeight="1">
      <c r="A26" s="8" t="s">
        <v>18</v>
      </c>
      <c r="B26" s="9" t="s">
        <v>11</v>
      </c>
      <c r="C26" s="10">
        <v>96.0</v>
      </c>
      <c r="D26" s="10">
        <v>440.0</v>
      </c>
      <c r="E26" s="10">
        <v>0.0</v>
      </c>
      <c r="F26" s="10">
        <v>81.0</v>
      </c>
      <c r="G26" s="10">
        <v>10.0</v>
      </c>
    </row>
    <row r="27" ht="15.75" customHeight="1">
      <c r="A27" s="5" t="s">
        <v>19</v>
      </c>
      <c r="B27" s="6" t="s">
        <v>9</v>
      </c>
      <c r="C27" s="7">
        <v>128.0</v>
      </c>
      <c r="D27" s="7">
        <v>490.0</v>
      </c>
      <c r="E27" s="7">
        <v>2.0</v>
      </c>
      <c r="F27" s="7">
        <v>102.0</v>
      </c>
      <c r="G27" s="7">
        <v>16.0</v>
      </c>
    </row>
    <row r="28" ht="15.75" customHeight="1">
      <c r="A28" s="8" t="s">
        <v>19</v>
      </c>
      <c r="B28" s="9" t="s">
        <v>10</v>
      </c>
      <c r="C28" s="10">
        <v>330.0</v>
      </c>
      <c r="D28" s="10">
        <v>530.0</v>
      </c>
      <c r="E28" s="10">
        <v>4.0</v>
      </c>
      <c r="F28" s="10">
        <v>211.0</v>
      </c>
      <c r="G28" s="10">
        <v>66.0</v>
      </c>
    </row>
    <row r="29" ht="15.75" customHeight="1">
      <c r="A29" s="5" t="s">
        <v>19</v>
      </c>
      <c r="B29" s="6" t="s">
        <v>11</v>
      </c>
      <c r="C29" s="7">
        <v>91.0</v>
      </c>
      <c r="D29" s="7">
        <v>450.0</v>
      </c>
      <c r="E29" s="7">
        <v>1.0</v>
      </c>
      <c r="F29" s="7">
        <v>76.0</v>
      </c>
      <c r="G29" s="7">
        <v>9.0</v>
      </c>
    </row>
    <row r="30" ht="15.75" customHeight="1">
      <c r="A30" s="8" t="s">
        <v>20</v>
      </c>
      <c r="B30" s="9" t="s">
        <v>9</v>
      </c>
      <c r="C30" s="10">
        <v>142.0</v>
      </c>
      <c r="D30" s="10">
        <v>510.0</v>
      </c>
      <c r="E30" s="10">
        <v>1.0</v>
      </c>
      <c r="F30" s="10">
        <v>115.0</v>
      </c>
      <c r="G30" s="10">
        <v>17.0</v>
      </c>
    </row>
    <row r="31" ht="15.75" customHeight="1">
      <c r="A31" s="5" t="s">
        <v>20</v>
      </c>
      <c r="B31" s="6" t="s">
        <v>10</v>
      </c>
      <c r="C31" s="7">
        <v>380.0</v>
      </c>
      <c r="D31" s="7">
        <v>560.0</v>
      </c>
      <c r="E31" s="7">
        <v>7.0</v>
      </c>
      <c r="F31" s="7">
        <v>243.0</v>
      </c>
      <c r="G31" s="7">
        <v>76.0</v>
      </c>
    </row>
    <row r="32" ht="15.75" customHeight="1">
      <c r="A32" s="8" t="s">
        <v>20</v>
      </c>
      <c r="B32" s="9" t="s">
        <v>11</v>
      </c>
      <c r="C32" s="10">
        <v>105.0</v>
      </c>
      <c r="D32" s="10">
        <v>470.0</v>
      </c>
      <c r="E32" s="10">
        <v>2.0</v>
      </c>
      <c r="F32" s="10">
        <v>88.0</v>
      </c>
      <c r="G32" s="10">
        <v>11.0</v>
      </c>
    </row>
    <row r="33" ht="15.75" customHeight="1">
      <c r="A33" s="5" t="s">
        <v>21</v>
      </c>
      <c r="B33" s="6" t="s">
        <v>9</v>
      </c>
      <c r="C33" s="7">
        <v>150.0</v>
      </c>
      <c r="D33" s="7">
        <v>530.0</v>
      </c>
      <c r="E33" s="7">
        <v>2.0</v>
      </c>
      <c r="F33" s="7">
        <v>121.0</v>
      </c>
      <c r="G33" s="7">
        <v>19.0</v>
      </c>
    </row>
    <row r="34" ht="15.75" customHeight="1">
      <c r="A34" s="8" t="s">
        <v>21</v>
      </c>
      <c r="B34" s="9" t="s">
        <v>10</v>
      </c>
      <c r="C34" s="10">
        <v>395.0</v>
      </c>
      <c r="D34" s="10">
        <v>580.0</v>
      </c>
      <c r="E34" s="10">
        <v>8.0</v>
      </c>
      <c r="F34" s="10">
        <v>252.0</v>
      </c>
      <c r="G34" s="10">
        <v>80.0</v>
      </c>
    </row>
    <row r="35" ht="15.75" customHeight="1">
      <c r="A35" s="5" t="s">
        <v>21</v>
      </c>
      <c r="B35" s="6" t="s">
        <v>11</v>
      </c>
      <c r="C35" s="7">
        <v>110.0</v>
      </c>
      <c r="D35" s="7">
        <v>490.0</v>
      </c>
      <c r="E35" s="7">
        <v>1.0</v>
      </c>
      <c r="F35" s="7">
        <v>92.0</v>
      </c>
      <c r="G35" s="7">
        <v>12.0</v>
      </c>
    </row>
    <row r="36" ht="15.75" customHeight="1">
      <c r="A36" s="8" t="s">
        <v>22</v>
      </c>
      <c r="B36" s="9" t="s">
        <v>9</v>
      </c>
      <c r="C36" s="10">
        <v>110.0</v>
      </c>
      <c r="D36" s="10">
        <v>2500.0</v>
      </c>
      <c r="E36" s="10">
        <v>22.0</v>
      </c>
      <c r="F36" s="10">
        <v>65.0</v>
      </c>
      <c r="G36" s="10">
        <v>10.0</v>
      </c>
    </row>
    <row r="37" ht="15.75" customHeight="1">
      <c r="A37" s="5" t="s">
        <v>22</v>
      </c>
      <c r="B37" s="6" t="s">
        <v>10</v>
      </c>
      <c r="C37" s="7">
        <v>280.0</v>
      </c>
      <c r="D37" s="7">
        <v>3100.0</v>
      </c>
      <c r="E37" s="7">
        <v>64.0</v>
      </c>
      <c r="F37" s="7">
        <v>130.0</v>
      </c>
      <c r="G37" s="7">
        <v>42.0</v>
      </c>
    </row>
    <row r="38" ht="15.75" customHeight="1">
      <c r="A38" s="8" t="s">
        <v>22</v>
      </c>
      <c r="B38" s="9" t="s">
        <v>11</v>
      </c>
      <c r="C38" s="10">
        <v>75.0</v>
      </c>
      <c r="D38" s="10">
        <v>2100.0</v>
      </c>
      <c r="E38" s="10">
        <v>15.0</v>
      </c>
      <c r="F38" s="10">
        <v>48.0</v>
      </c>
      <c r="G38" s="10">
        <v>5.0</v>
      </c>
    </row>
    <row r="39" ht="15.75" customHeight="1">
      <c r="A39" s="5" t="s">
        <v>23</v>
      </c>
      <c r="B39" s="6" t="s">
        <v>9</v>
      </c>
      <c r="C39" s="7">
        <v>95.0</v>
      </c>
      <c r="D39" s="7">
        <v>5800.0</v>
      </c>
      <c r="E39" s="7">
        <v>45.0</v>
      </c>
      <c r="F39" s="7">
        <v>42.0</v>
      </c>
      <c r="G39" s="7">
        <v>8.0</v>
      </c>
    </row>
    <row r="40" ht="15.75" customHeight="1">
      <c r="A40" s="8" t="s">
        <v>23</v>
      </c>
      <c r="B40" s="9" t="s">
        <v>10</v>
      </c>
      <c r="C40" s="10">
        <v>210.0</v>
      </c>
      <c r="D40" s="10">
        <v>6400.0</v>
      </c>
      <c r="E40" s="10">
        <v>112.0</v>
      </c>
      <c r="F40" s="10">
        <v>82.0</v>
      </c>
      <c r="G40" s="10">
        <v>25.0</v>
      </c>
    </row>
    <row r="41" ht="15.75" customHeight="1">
      <c r="A41" s="5" t="s">
        <v>23</v>
      </c>
      <c r="B41" s="6" t="s">
        <v>11</v>
      </c>
      <c r="C41" s="7">
        <v>60.0</v>
      </c>
      <c r="D41" s="7">
        <v>4900.0</v>
      </c>
      <c r="E41" s="7">
        <v>31.0</v>
      </c>
      <c r="F41" s="7">
        <v>24.0</v>
      </c>
      <c r="G41" s="7">
        <v>4.0</v>
      </c>
    </row>
    <row r="42" ht="15.75" customHeight="1">
      <c r="A42" s="8" t="s">
        <v>24</v>
      </c>
      <c r="B42" s="9" t="s">
        <v>9</v>
      </c>
      <c r="C42" s="10">
        <v>88.0</v>
      </c>
      <c r="D42" s="10">
        <v>8200.0</v>
      </c>
      <c r="E42" s="10">
        <v>67.0</v>
      </c>
      <c r="F42" s="10">
        <v>31.0</v>
      </c>
      <c r="G42" s="10">
        <v>6.0</v>
      </c>
    </row>
    <row r="43" ht="15.75" customHeight="1">
      <c r="A43" s="5" t="s">
        <v>24</v>
      </c>
      <c r="B43" s="6" t="s">
        <v>10</v>
      </c>
      <c r="C43" s="7">
        <v>180.0</v>
      </c>
      <c r="D43" s="7">
        <v>9100.0</v>
      </c>
      <c r="E43" s="7">
        <v>145.0</v>
      </c>
      <c r="F43" s="7">
        <v>58.0</v>
      </c>
      <c r="G43" s="7">
        <v>18.0</v>
      </c>
    </row>
    <row r="44" ht="15.75" customHeight="1">
      <c r="A44" s="8" t="s">
        <v>24</v>
      </c>
      <c r="B44" s="9" t="s">
        <v>11</v>
      </c>
      <c r="C44" s="10">
        <v>52.0</v>
      </c>
      <c r="D44" s="10">
        <v>7600.0</v>
      </c>
      <c r="E44" s="10">
        <v>48.0</v>
      </c>
      <c r="F44" s="10">
        <v>16.0</v>
      </c>
      <c r="G44" s="10">
        <v>3.0</v>
      </c>
    </row>
    <row r="45" ht="15.75" customHeight="1">
      <c r="A45" s="5" t="s">
        <v>25</v>
      </c>
      <c r="B45" s="6" t="s">
        <v>9</v>
      </c>
      <c r="C45" s="7">
        <v>102.0</v>
      </c>
      <c r="D45" s="7">
        <v>4100.0</v>
      </c>
      <c r="E45" s="7">
        <v>33.0</v>
      </c>
      <c r="F45" s="7">
        <v>55.0</v>
      </c>
      <c r="G45" s="7">
        <v>9.0</v>
      </c>
    </row>
    <row r="46" ht="15.75" customHeight="1">
      <c r="A46" s="8" t="s">
        <v>25</v>
      </c>
      <c r="B46" s="9" t="s">
        <v>10</v>
      </c>
      <c r="C46" s="10">
        <v>240.0</v>
      </c>
      <c r="D46" s="10">
        <v>4800.0</v>
      </c>
      <c r="E46" s="10">
        <v>89.0</v>
      </c>
      <c r="F46" s="10">
        <v>115.0</v>
      </c>
      <c r="G46" s="10">
        <v>34.0</v>
      </c>
    </row>
    <row r="47" ht="15.75" customHeight="1">
      <c r="A47" s="5" t="s">
        <v>25</v>
      </c>
      <c r="B47" s="6" t="s">
        <v>11</v>
      </c>
      <c r="C47" s="7">
        <v>70.0</v>
      </c>
      <c r="D47" s="7">
        <v>3900.0</v>
      </c>
      <c r="E47" s="7">
        <v>24.0</v>
      </c>
      <c r="F47" s="7">
        <v>38.0</v>
      </c>
      <c r="G47" s="7">
        <v>6.0</v>
      </c>
    </row>
    <row r="48" ht="15.75" customHeight="1">
      <c r="A48" s="8" t="s">
        <v>26</v>
      </c>
      <c r="B48" s="9" t="s">
        <v>9</v>
      </c>
      <c r="C48" s="10">
        <v>125.0</v>
      </c>
      <c r="D48" s="10">
        <v>650.0</v>
      </c>
      <c r="E48" s="10">
        <v>4.0</v>
      </c>
      <c r="F48" s="10">
        <v>99.0</v>
      </c>
      <c r="G48" s="10">
        <v>14.0</v>
      </c>
    </row>
    <row r="49" ht="15.75" customHeight="1">
      <c r="A49" s="5" t="s">
        <v>26</v>
      </c>
      <c r="B49" s="6" t="s">
        <v>10</v>
      </c>
      <c r="C49" s="7">
        <v>320.0</v>
      </c>
      <c r="D49" s="7">
        <v>720.0</v>
      </c>
      <c r="E49" s="7">
        <v>12.0</v>
      </c>
      <c r="F49" s="7">
        <v>211.0</v>
      </c>
      <c r="G49" s="7">
        <v>61.0</v>
      </c>
    </row>
    <row r="50" ht="15.75" customHeight="1">
      <c r="A50" s="8" t="s">
        <v>26</v>
      </c>
      <c r="B50" s="9" t="s">
        <v>11</v>
      </c>
      <c r="C50" s="10">
        <v>85.0</v>
      </c>
      <c r="D50" s="10">
        <v>610.0</v>
      </c>
      <c r="E50" s="10">
        <v>3.0</v>
      </c>
      <c r="F50" s="10">
        <v>71.0</v>
      </c>
      <c r="G50" s="10">
        <v>8.0</v>
      </c>
    </row>
    <row r="51" ht="15.75" customHeight="1">
      <c r="A51" s="5" t="s">
        <v>27</v>
      </c>
      <c r="B51" s="6" t="s">
        <v>9</v>
      </c>
      <c r="C51" s="7">
        <v>130.0</v>
      </c>
      <c r="D51" s="7">
        <v>480.0</v>
      </c>
      <c r="E51" s="7">
        <v>1.0</v>
      </c>
      <c r="F51" s="7">
        <v>105.0</v>
      </c>
      <c r="G51" s="7">
        <v>15.0</v>
      </c>
    </row>
    <row r="52" ht="15.75" customHeight="1">
      <c r="A52" s="8" t="s">
        <v>27</v>
      </c>
      <c r="B52" s="9" t="s">
        <v>10</v>
      </c>
      <c r="C52" s="10">
        <v>345.0</v>
      </c>
      <c r="D52" s="10">
        <v>510.0</v>
      </c>
      <c r="E52" s="10">
        <v>5.0</v>
      </c>
      <c r="F52" s="10">
        <v>228.0</v>
      </c>
      <c r="G52" s="10">
        <v>65.0</v>
      </c>
    </row>
    <row r="53" ht="15.75" customHeight="1">
      <c r="A53" s="5" t="s">
        <v>27</v>
      </c>
      <c r="B53" s="6" t="s">
        <v>11</v>
      </c>
      <c r="C53" s="7">
        <v>92.0</v>
      </c>
      <c r="D53" s="7">
        <v>440.0</v>
      </c>
      <c r="E53" s="7">
        <v>1.0</v>
      </c>
      <c r="F53" s="7">
        <v>79.0</v>
      </c>
      <c r="G53" s="7">
        <v>9.0</v>
      </c>
    </row>
    <row r="54" ht="15.75" customHeight="1">
      <c r="A54" s="8" t="s">
        <v>28</v>
      </c>
      <c r="B54" s="9" t="s">
        <v>9</v>
      </c>
      <c r="C54" s="10">
        <v>128.0</v>
      </c>
      <c r="D54" s="10">
        <v>460.0</v>
      </c>
      <c r="E54" s="10">
        <v>0.0</v>
      </c>
      <c r="F54" s="10">
        <v>104.0</v>
      </c>
      <c r="G54" s="10">
        <v>13.0</v>
      </c>
    </row>
    <row r="55" ht="15.75" customHeight="1">
      <c r="A55" s="5" t="s">
        <v>28</v>
      </c>
      <c r="B55" s="6" t="s">
        <v>10</v>
      </c>
      <c r="C55" s="7">
        <v>330.0</v>
      </c>
      <c r="D55" s="7">
        <v>490.0</v>
      </c>
      <c r="E55" s="7">
        <v>4.0</v>
      </c>
      <c r="F55" s="7">
        <v>218.0</v>
      </c>
      <c r="G55" s="7">
        <v>62.0</v>
      </c>
    </row>
    <row r="56" ht="15.75" customHeight="1">
      <c r="A56" s="8" t="s">
        <v>28</v>
      </c>
      <c r="B56" s="9" t="s">
        <v>11</v>
      </c>
      <c r="C56" s="10">
        <v>89.0</v>
      </c>
      <c r="D56" s="10">
        <v>420.0</v>
      </c>
      <c r="E56" s="10">
        <v>0.0</v>
      </c>
      <c r="F56" s="10">
        <v>77.0</v>
      </c>
      <c r="G56" s="10">
        <v>8.0</v>
      </c>
    </row>
    <row r="57" ht="15.75" customHeight="1">
      <c r="A57" s="5" t="s">
        <v>29</v>
      </c>
      <c r="B57" s="6" t="s">
        <v>9</v>
      </c>
      <c r="C57" s="7">
        <v>135.0</v>
      </c>
      <c r="D57" s="7">
        <v>450.0</v>
      </c>
      <c r="E57" s="7">
        <v>1.0</v>
      </c>
      <c r="F57" s="7">
        <v>111.0</v>
      </c>
      <c r="G57" s="7">
        <v>14.0</v>
      </c>
    </row>
    <row r="58" ht="15.75" customHeight="1">
      <c r="A58" s="8" t="s">
        <v>29</v>
      </c>
      <c r="B58" s="9" t="s">
        <v>10</v>
      </c>
      <c r="C58" s="10">
        <v>350.0</v>
      </c>
      <c r="D58" s="10">
        <v>480.0</v>
      </c>
      <c r="E58" s="10">
        <v>3.0</v>
      </c>
      <c r="F58" s="10">
        <v>231.0</v>
      </c>
      <c r="G58" s="10">
        <v>66.0</v>
      </c>
    </row>
    <row r="59" ht="15.75" customHeight="1">
      <c r="A59" s="5" t="s">
        <v>29</v>
      </c>
      <c r="B59" s="6" t="s">
        <v>11</v>
      </c>
      <c r="C59" s="7">
        <v>94.0</v>
      </c>
      <c r="D59" s="7">
        <v>430.0</v>
      </c>
      <c r="E59" s="7">
        <v>0.0</v>
      </c>
      <c r="F59" s="7">
        <v>81.0</v>
      </c>
      <c r="G59" s="7">
        <v>9.0</v>
      </c>
    </row>
    <row r="60" ht="15.75" customHeight="1">
      <c r="A60" s="8" t="s">
        <v>30</v>
      </c>
      <c r="B60" s="9" t="s">
        <v>9</v>
      </c>
      <c r="C60" s="10">
        <v>140.0</v>
      </c>
      <c r="D60" s="10">
        <v>440.0</v>
      </c>
      <c r="E60" s="10">
        <v>0.0</v>
      </c>
      <c r="F60" s="10">
        <v>116.0</v>
      </c>
      <c r="G60" s="10">
        <v>14.0</v>
      </c>
    </row>
    <row r="61" ht="15.75" customHeight="1">
      <c r="A61" s="5" t="s">
        <v>30</v>
      </c>
      <c r="B61" s="6" t="s">
        <v>10</v>
      </c>
      <c r="C61" s="7">
        <v>365.0</v>
      </c>
      <c r="D61" s="7">
        <v>470.0</v>
      </c>
      <c r="E61" s="7">
        <v>2.0</v>
      </c>
      <c r="F61" s="7">
        <v>242.0</v>
      </c>
      <c r="G61" s="7">
        <v>69.0</v>
      </c>
    </row>
    <row r="62" ht="15.75" customHeight="1">
      <c r="A62" s="8" t="s">
        <v>30</v>
      </c>
      <c r="B62" s="9" t="s">
        <v>11</v>
      </c>
      <c r="C62" s="10">
        <v>98.0</v>
      </c>
      <c r="D62" s="10">
        <v>410.0</v>
      </c>
      <c r="E62" s="10">
        <v>1.0</v>
      </c>
      <c r="F62" s="10">
        <v>85.0</v>
      </c>
      <c r="G62" s="10">
        <v>8.0</v>
      </c>
    </row>
    <row r="63" ht="15.75" customHeight="1">
      <c r="A63" s="5" t="s">
        <v>31</v>
      </c>
      <c r="B63" s="6" t="s">
        <v>9</v>
      </c>
      <c r="C63" s="7">
        <v>132.0</v>
      </c>
      <c r="D63" s="7">
        <v>460.0</v>
      </c>
      <c r="E63" s="7">
        <v>1.0</v>
      </c>
      <c r="F63" s="7">
        <v>108.0</v>
      </c>
      <c r="G63" s="7">
        <v>13.0</v>
      </c>
    </row>
    <row r="64" ht="15.75" customHeight="1">
      <c r="A64" s="8" t="s">
        <v>31</v>
      </c>
      <c r="B64" s="9" t="s">
        <v>10</v>
      </c>
      <c r="C64" s="10">
        <v>340.0</v>
      </c>
      <c r="D64" s="10">
        <v>500.0</v>
      </c>
      <c r="E64" s="10">
        <v>4.0</v>
      </c>
      <c r="F64" s="10">
        <v>222.0</v>
      </c>
      <c r="G64" s="10">
        <v>64.0</v>
      </c>
    </row>
    <row r="65" ht="15.75" customHeight="1">
      <c r="A65" s="5" t="s">
        <v>31</v>
      </c>
      <c r="B65" s="6" t="s">
        <v>11</v>
      </c>
      <c r="C65" s="7">
        <v>90.0</v>
      </c>
      <c r="D65" s="7">
        <v>430.0</v>
      </c>
      <c r="E65" s="7">
        <v>0.0</v>
      </c>
      <c r="F65" s="7">
        <v>78.0</v>
      </c>
      <c r="G65" s="7">
        <v>9.0</v>
      </c>
    </row>
    <row r="66" ht="15.75" customHeight="1">
      <c r="A66" s="8" t="s">
        <v>32</v>
      </c>
      <c r="B66" s="9" t="s">
        <v>9</v>
      </c>
      <c r="C66" s="10">
        <v>138.0</v>
      </c>
      <c r="D66" s="10">
        <v>470.0</v>
      </c>
      <c r="E66" s="10">
        <v>2.0</v>
      </c>
      <c r="F66" s="10">
        <v>112.0</v>
      </c>
      <c r="G66" s="10">
        <v>15.0</v>
      </c>
    </row>
    <row r="67" ht="15.75" customHeight="1">
      <c r="A67" s="5" t="s">
        <v>32</v>
      </c>
      <c r="B67" s="6" t="s">
        <v>10</v>
      </c>
      <c r="C67" s="7">
        <v>355.0</v>
      </c>
      <c r="D67" s="7">
        <v>520.0</v>
      </c>
      <c r="E67" s="7">
        <v>5.0</v>
      </c>
      <c r="F67" s="7">
        <v>231.0</v>
      </c>
      <c r="G67" s="7">
        <v>71.0</v>
      </c>
    </row>
    <row r="68" ht="15.75" customHeight="1">
      <c r="A68" s="8" t="s">
        <v>32</v>
      </c>
      <c r="B68" s="9" t="s">
        <v>11</v>
      </c>
      <c r="C68" s="10">
        <v>96.0</v>
      </c>
      <c r="D68" s="10">
        <v>450.0</v>
      </c>
      <c r="E68" s="10">
        <v>1.0</v>
      </c>
      <c r="F68" s="10">
        <v>82.0</v>
      </c>
      <c r="G68" s="10">
        <v>10.0</v>
      </c>
    </row>
    <row r="69" ht="15.75" customHeight="1">
      <c r="A69" s="5" t="s">
        <v>33</v>
      </c>
      <c r="B69" s="6" t="s">
        <v>9</v>
      </c>
      <c r="C69" s="7">
        <v>145.0</v>
      </c>
      <c r="D69" s="7">
        <v>450.0</v>
      </c>
      <c r="E69" s="7">
        <v>0.0</v>
      </c>
      <c r="F69" s="7">
        <v>120.0</v>
      </c>
      <c r="G69" s="7">
        <v>15.0</v>
      </c>
    </row>
    <row r="70" ht="15.75" customHeight="1">
      <c r="A70" s="8" t="s">
        <v>33</v>
      </c>
      <c r="B70" s="9" t="s">
        <v>10</v>
      </c>
      <c r="C70" s="10">
        <v>370.0</v>
      </c>
      <c r="D70" s="10">
        <v>490.0</v>
      </c>
      <c r="E70" s="10">
        <v>3.0</v>
      </c>
      <c r="F70" s="10">
        <v>246.0</v>
      </c>
      <c r="G70" s="10">
        <v>70.0</v>
      </c>
    </row>
    <row r="71" ht="15.75" customHeight="1">
      <c r="A71" s="5" t="s">
        <v>33</v>
      </c>
      <c r="B71" s="6" t="s">
        <v>11</v>
      </c>
      <c r="C71" s="7">
        <v>102.0</v>
      </c>
      <c r="D71" s="7">
        <v>420.0</v>
      </c>
      <c r="E71" s="7">
        <v>0.0</v>
      </c>
      <c r="F71" s="7">
        <v>89.0</v>
      </c>
      <c r="G71" s="7">
        <v>9.0</v>
      </c>
    </row>
    <row r="72" ht="15.75" customHeight="1">
      <c r="A72" s="8" t="s">
        <v>34</v>
      </c>
      <c r="B72" s="9" t="s">
        <v>9</v>
      </c>
      <c r="C72" s="10">
        <v>150.0</v>
      </c>
      <c r="D72" s="10">
        <v>480.0</v>
      </c>
      <c r="E72" s="10">
        <v>1.0</v>
      </c>
      <c r="F72" s="10">
        <v>123.0</v>
      </c>
      <c r="G72" s="10">
        <v>17.0</v>
      </c>
    </row>
    <row r="73" ht="15.75" customHeight="1">
      <c r="A73" s="5" t="s">
        <v>34</v>
      </c>
      <c r="B73" s="6" t="s">
        <v>10</v>
      </c>
      <c r="C73" s="7">
        <v>390.0</v>
      </c>
      <c r="D73" s="7">
        <v>530.0</v>
      </c>
      <c r="E73" s="7">
        <v>6.0</v>
      </c>
      <c r="F73" s="7">
        <v>254.0</v>
      </c>
      <c r="G73" s="7">
        <v>78.0</v>
      </c>
    </row>
    <row r="74" ht="15.75" customHeight="1">
      <c r="A74" s="8" t="s">
        <v>34</v>
      </c>
      <c r="B74" s="9" t="s">
        <v>11</v>
      </c>
      <c r="C74" s="10">
        <v>108.0</v>
      </c>
      <c r="D74" s="10">
        <v>440.0</v>
      </c>
      <c r="E74" s="10">
        <v>1.0</v>
      </c>
      <c r="F74" s="10">
        <v>93.0</v>
      </c>
      <c r="G74" s="10">
        <v>11.0</v>
      </c>
    </row>
    <row r="75" ht="15.75" customHeight="1">
      <c r="A75" s="5" t="s">
        <v>35</v>
      </c>
      <c r="B75" s="6" t="s">
        <v>9</v>
      </c>
      <c r="C75" s="7">
        <v>155.0</v>
      </c>
      <c r="D75" s="7">
        <v>490.0</v>
      </c>
      <c r="E75" s="7">
        <v>2.0</v>
      </c>
      <c r="F75" s="7">
        <v>126.0</v>
      </c>
      <c r="G75" s="7">
        <v>19.0</v>
      </c>
    </row>
    <row r="76" ht="15.75" customHeight="1">
      <c r="A76" s="8" t="s">
        <v>35</v>
      </c>
      <c r="B76" s="9" t="s">
        <v>10</v>
      </c>
      <c r="C76" s="10">
        <v>410.0</v>
      </c>
      <c r="D76" s="10">
        <v>550.0</v>
      </c>
      <c r="E76" s="10">
        <v>7.0</v>
      </c>
      <c r="F76" s="10">
        <v>266.0</v>
      </c>
      <c r="G76" s="10">
        <v>85.0</v>
      </c>
    </row>
    <row r="77" ht="15.75" customHeight="1">
      <c r="A77" s="5" t="s">
        <v>35</v>
      </c>
      <c r="B77" s="6" t="s">
        <v>11</v>
      </c>
      <c r="C77" s="7">
        <v>112.0</v>
      </c>
      <c r="D77" s="7">
        <v>460.0</v>
      </c>
      <c r="E77" s="7">
        <v>2.0</v>
      </c>
      <c r="F77" s="7">
        <v>95.0</v>
      </c>
      <c r="G77" s="7">
        <v>12.0</v>
      </c>
    </row>
    <row r="78" ht="15.75" customHeight="1">
      <c r="A78" s="8" t="s">
        <v>36</v>
      </c>
      <c r="B78" s="9" t="s">
        <v>9</v>
      </c>
      <c r="C78" s="10">
        <v>142.0</v>
      </c>
      <c r="D78" s="10">
        <v>460.0</v>
      </c>
      <c r="E78" s="10">
        <v>1.0</v>
      </c>
      <c r="F78" s="10">
        <v>116.0</v>
      </c>
      <c r="G78" s="10">
        <v>15.0</v>
      </c>
    </row>
    <row r="79" ht="15.75" customHeight="1">
      <c r="A79" s="5" t="s">
        <v>36</v>
      </c>
      <c r="B79" s="6" t="s">
        <v>10</v>
      </c>
      <c r="C79" s="7">
        <v>360.0</v>
      </c>
      <c r="D79" s="7">
        <v>510.0</v>
      </c>
      <c r="E79" s="7">
        <v>4.0</v>
      </c>
      <c r="F79" s="7">
        <v>238.0</v>
      </c>
      <c r="G79" s="7">
        <v>72.0</v>
      </c>
    </row>
    <row r="80" ht="15.75" customHeight="1">
      <c r="A80" s="8" t="s">
        <v>36</v>
      </c>
      <c r="B80" s="9" t="s">
        <v>11</v>
      </c>
      <c r="C80" s="10">
        <v>95.0</v>
      </c>
      <c r="D80" s="10">
        <v>430.0</v>
      </c>
      <c r="E80" s="10">
        <v>0.0</v>
      </c>
      <c r="F80" s="10">
        <v>81.0</v>
      </c>
      <c r="G80" s="10">
        <v>10.0</v>
      </c>
    </row>
    <row r="81" ht="15.75" customHeight="1">
      <c r="A81" s="5" t="s">
        <v>37</v>
      </c>
      <c r="B81" s="6" t="s">
        <v>9</v>
      </c>
      <c r="C81" s="7">
        <v>136.0</v>
      </c>
      <c r="D81" s="7">
        <v>440.0</v>
      </c>
      <c r="E81" s="7">
        <v>0.0</v>
      </c>
      <c r="F81" s="7">
        <v>112.0</v>
      </c>
      <c r="G81" s="7">
        <v>14.0</v>
      </c>
    </row>
    <row r="82" ht="15.75" customHeight="1">
      <c r="A82" s="8" t="s">
        <v>37</v>
      </c>
      <c r="B82" s="9" t="s">
        <v>10</v>
      </c>
      <c r="C82" s="10">
        <v>345.0</v>
      </c>
      <c r="D82" s="10">
        <v>480.0</v>
      </c>
      <c r="E82" s="10">
        <v>3.0</v>
      </c>
      <c r="F82" s="10">
        <v>229.0</v>
      </c>
      <c r="G82" s="10">
        <v>65.0</v>
      </c>
    </row>
    <row r="83" ht="15.75" customHeight="1">
      <c r="A83" s="5" t="s">
        <v>37</v>
      </c>
      <c r="B83" s="6" t="s">
        <v>11</v>
      </c>
      <c r="C83" s="7">
        <v>91.0</v>
      </c>
      <c r="D83" s="7">
        <v>420.0</v>
      </c>
      <c r="E83" s="7">
        <v>1.0</v>
      </c>
      <c r="F83" s="7">
        <v>78.0</v>
      </c>
      <c r="G83" s="7">
        <v>9.0</v>
      </c>
    </row>
    <row r="84" ht="15.75" customHeight="1">
      <c r="A84" s="8" t="s">
        <v>38</v>
      </c>
      <c r="B84" s="9" t="s">
        <v>9</v>
      </c>
      <c r="C84" s="10">
        <v>144.0</v>
      </c>
      <c r="D84" s="10">
        <v>450.0</v>
      </c>
      <c r="E84" s="10">
        <v>1.0</v>
      </c>
      <c r="F84" s="10">
        <v>119.0</v>
      </c>
      <c r="G84" s="10">
        <v>15.0</v>
      </c>
    </row>
    <row r="85" ht="15.75" customHeight="1">
      <c r="A85" s="5" t="s">
        <v>38</v>
      </c>
      <c r="B85" s="6" t="s">
        <v>10</v>
      </c>
      <c r="C85" s="7">
        <v>368.0</v>
      </c>
      <c r="D85" s="7">
        <v>490.0</v>
      </c>
      <c r="E85" s="7">
        <v>4.0</v>
      </c>
      <c r="F85" s="7">
        <v>244.0</v>
      </c>
      <c r="G85" s="7">
        <v>70.0</v>
      </c>
    </row>
    <row r="86" ht="15.75" customHeight="1">
      <c r="A86" s="8" t="s">
        <v>38</v>
      </c>
      <c r="B86" s="9" t="s">
        <v>11</v>
      </c>
      <c r="C86" s="10">
        <v>99.0</v>
      </c>
      <c r="D86" s="10">
        <v>430.0</v>
      </c>
      <c r="E86" s="10">
        <v>0.0</v>
      </c>
      <c r="F86" s="10">
        <v>86.0</v>
      </c>
      <c r="G86" s="10">
        <v>10.0</v>
      </c>
    </row>
    <row r="87" ht="15.75" customHeight="1">
      <c r="A87" s="5" t="s">
        <v>39</v>
      </c>
      <c r="B87" s="6" t="s">
        <v>9</v>
      </c>
      <c r="C87" s="7">
        <v>152.0</v>
      </c>
      <c r="D87" s="7">
        <v>470.0</v>
      </c>
      <c r="E87" s="7">
        <v>2.0</v>
      </c>
      <c r="F87" s="7">
        <v>124.0</v>
      </c>
      <c r="G87" s="7">
        <v>18.0</v>
      </c>
    </row>
    <row r="88" ht="15.75" customHeight="1">
      <c r="A88" s="8" t="s">
        <v>39</v>
      </c>
      <c r="B88" s="9" t="s">
        <v>10</v>
      </c>
      <c r="C88" s="10">
        <v>385.0</v>
      </c>
      <c r="D88" s="10">
        <v>520.0</v>
      </c>
      <c r="E88" s="10">
        <v>5.0</v>
      </c>
      <c r="F88" s="10">
        <v>253.0</v>
      </c>
      <c r="G88" s="10">
        <v>77.0</v>
      </c>
    </row>
    <row r="89" ht="15.75" customHeight="1">
      <c r="A89" s="5" t="s">
        <v>39</v>
      </c>
      <c r="B89" s="6" t="s">
        <v>11</v>
      </c>
      <c r="C89" s="7">
        <v>104.0</v>
      </c>
      <c r="D89" s="7">
        <v>440.0</v>
      </c>
      <c r="E89" s="7">
        <v>1.0</v>
      </c>
      <c r="F89" s="7">
        <v>90.0</v>
      </c>
      <c r="G89" s="7">
        <v>11.0</v>
      </c>
    </row>
    <row r="90" ht="15.75" customHeight="1">
      <c r="A90" s="8" t="s">
        <v>40</v>
      </c>
      <c r="B90" s="9" t="s">
        <v>9</v>
      </c>
      <c r="C90" s="10">
        <v>160.0</v>
      </c>
      <c r="D90" s="10">
        <v>490.0</v>
      </c>
      <c r="E90" s="10">
        <v>1.0</v>
      </c>
      <c r="F90" s="10">
        <v>131.0</v>
      </c>
      <c r="G90" s="10">
        <v>19.0</v>
      </c>
    </row>
    <row r="91" ht="15.75" customHeight="1">
      <c r="A91" s="5" t="s">
        <v>40</v>
      </c>
      <c r="B91" s="6" t="s">
        <v>10</v>
      </c>
      <c r="C91" s="7">
        <v>420.0</v>
      </c>
      <c r="D91" s="7">
        <v>540.0</v>
      </c>
      <c r="E91" s="7">
        <v>6.0</v>
      </c>
      <c r="F91" s="7">
        <v>275.0</v>
      </c>
      <c r="G91" s="7">
        <v>84.0</v>
      </c>
    </row>
    <row r="92" ht="15.75" customHeight="1">
      <c r="A92" s="8" t="s">
        <v>40</v>
      </c>
      <c r="B92" s="9" t="s">
        <v>11</v>
      </c>
      <c r="C92" s="10">
        <v>115.0</v>
      </c>
      <c r="D92" s="10">
        <v>460.0</v>
      </c>
      <c r="E92" s="10">
        <v>1.0</v>
      </c>
      <c r="F92" s="10">
        <v>100.0</v>
      </c>
      <c r="G92" s="10">
        <v>11.0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4.0"/>
    <col customWidth="1" min="3" max="3" width="20.14"/>
    <col customWidth="1" min="4" max="4" width="21.0"/>
    <col customWidth="1" min="5" max="5" width="13.57"/>
    <col customWidth="1" min="6" max="6" width="24.14"/>
    <col customWidth="1" min="7" max="7" width="30.0"/>
    <col customWidth="1" min="8" max="8" width="10.0"/>
    <col customWidth="1" min="9" max="9" width="14.0"/>
    <col customWidth="1" min="10" max="10" width="20.0"/>
    <col customWidth="1" min="11" max="26" width="8.71"/>
  </cols>
  <sheetData>
    <row r="1" ht="27.75" customHeight="1">
      <c r="A1" s="11" t="s">
        <v>41</v>
      </c>
      <c r="B1" s="12"/>
      <c r="C1" s="12"/>
      <c r="D1" s="12"/>
      <c r="E1" s="12"/>
      <c r="F1" s="12"/>
      <c r="G1" s="12"/>
      <c r="H1" s="12"/>
      <c r="I1" s="12"/>
      <c r="J1" s="13"/>
    </row>
    <row r="2" ht="21.75" customHeight="1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5" t="s">
        <v>42</v>
      </c>
      <c r="I2" s="16" t="s">
        <v>43</v>
      </c>
      <c r="J2" s="17" t="s">
        <v>44</v>
      </c>
    </row>
    <row r="3">
      <c r="A3" s="18" t="s">
        <v>8</v>
      </c>
      <c r="B3" s="19" t="s">
        <v>9</v>
      </c>
      <c r="C3" s="20">
        <v>120.0</v>
      </c>
      <c r="D3" s="20">
        <v>450.0</v>
      </c>
      <c r="E3" s="20">
        <v>1.0</v>
      </c>
      <c r="F3" s="20">
        <v>98.0</v>
      </c>
      <c r="G3" s="20">
        <v>12.0</v>
      </c>
      <c r="H3" s="20">
        <f t="shared" ref="H3:H92" si="1">WEEKNUM(A3,2)</f>
        <v>14</v>
      </c>
      <c r="I3" s="21">
        <f t="shared" ref="I3:I92" si="2">IF(C3&gt;0,F3/C3,0)</f>
        <v>0.8166666667</v>
      </c>
      <c r="J3" s="21">
        <f t="shared" ref="J3:J92" si="3">IF(C3&gt;0,G3/C3,0)</f>
        <v>0.1</v>
      </c>
    </row>
    <row r="4">
      <c r="A4" s="22" t="s">
        <v>8</v>
      </c>
      <c r="B4" s="23" t="s">
        <v>10</v>
      </c>
      <c r="C4" s="24">
        <v>340.0</v>
      </c>
      <c r="D4" s="24">
        <v>480.0</v>
      </c>
      <c r="E4" s="24">
        <v>4.0</v>
      </c>
      <c r="F4" s="24">
        <v>221.0</v>
      </c>
      <c r="G4" s="24">
        <v>68.0</v>
      </c>
      <c r="H4" s="25">
        <f t="shared" si="1"/>
        <v>14</v>
      </c>
      <c r="I4" s="26">
        <f t="shared" si="2"/>
        <v>0.65</v>
      </c>
      <c r="J4" s="27">
        <f t="shared" si="3"/>
        <v>0.2</v>
      </c>
    </row>
    <row r="5">
      <c r="A5" s="18" t="s">
        <v>8</v>
      </c>
      <c r="B5" s="19" t="s">
        <v>11</v>
      </c>
      <c r="C5" s="20">
        <v>85.0</v>
      </c>
      <c r="D5" s="20">
        <v>420.0</v>
      </c>
      <c r="E5" s="20">
        <v>0.0</v>
      </c>
      <c r="F5" s="20">
        <v>72.0</v>
      </c>
      <c r="G5" s="20">
        <v>8.0</v>
      </c>
      <c r="H5" s="20">
        <f t="shared" si="1"/>
        <v>14</v>
      </c>
      <c r="I5" s="21">
        <f t="shared" si="2"/>
        <v>0.8470588235</v>
      </c>
      <c r="J5" s="21">
        <f t="shared" si="3"/>
        <v>0.09411764706</v>
      </c>
    </row>
    <row r="6">
      <c r="A6" s="22" t="s">
        <v>12</v>
      </c>
      <c r="B6" s="23" t="s">
        <v>9</v>
      </c>
      <c r="C6" s="24">
        <v>115.0</v>
      </c>
      <c r="D6" s="24">
        <v>460.0</v>
      </c>
      <c r="E6" s="24">
        <v>0.0</v>
      </c>
      <c r="F6" s="24">
        <v>92.0</v>
      </c>
      <c r="G6" s="24">
        <v>15.0</v>
      </c>
      <c r="H6" s="25">
        <f t="shared" si="1"/>
        <v>14</v>
      </c>
      <c r="I6" s="26">
        <f t="shared" si="2"/>
        <v>0.8</v>
      </c>
      <c r="J6" s="27">
        <f t="shared" si="3"/>
        <v>0.1304347826</v>
      </c>
    </row>
    <row r="7">
      <c r="A7" s="18" t="s">
        <v>12</v>
      </c>
      <c r="B7" s="19" t="s">
        <v>10</v>
      </c>
      <c r="C7" s="20">
        <v>310.0</v>
      </c>
      <c r="D7" s="20">
        <v>510.0</v>
      </c>
      <c r="E7" s="20">
        <v>5.0</v>
      </c>
      <c r="F7" s="20">
        <v>205.0</v>
      </c>
      <c r="G7" s="20">
        <v>60.0</v>
      </c>
      <c r="H7" s="20">
        <f t="shared" si="1"/>
        <v>14</v>
      </c>
      <c r="I7" s="21">
        <f t="shared" si="2"/>
        <v>0.6612903226</v>
      </c>
      <c r="J7" s="21">
        <f t="shared" si="3"/>
        <v>0.1935483871</v>
      </c>
    </row>
    <row r="8">
      <c r="A8" s="22" t="s">
        <v>12</v>
      </c>
      <c r="B8" s="23" t="s">
        <v>11</v>
      </c>
      <c r="C8" s="24">
        <v>90.0</v>
      </c>
      <c r="D8" s="24">
        <v>440.0</v>
      </c>
      <c r="E8" s="24">
        <v>1.0</v>
      </c>
      <c r="F8" s="24">
        <v>78.0</v>
      </c>
      <c r="G8" s="24">
        <v>6.0</v>
      </c>
      <c r="H8" s="25">
        <f t="shared" si="1"/>
        <v>14</v>
      </c>
      <c r="I8" s="26">
        <f t="shared" si="2"/>
        <v>0.8666666667</v>
      </c>
      <c r="J8" s="27">
        <f t="shared" si="3"/>
        <v>0.06666666667</v>
      </c>
    </row>
    <row r="9">
      <c r="A9" s="18" t="s">
        <v>13</v>
      </c>
      <c r="B9" s="19" t="s">
        <v>9</v>
      </c>
      <c r="C9" s="20">
        <v>130.0</v>
      </c>
      <c r="D9" s="20">
        <v>480.0</v>
      </c>
      <c r="E9" s="20">
        <v>2.0</v>
      </c>
      <c r="F9" s="20">
        <v>104.0</v>
      </c>
      <c r="G9" s="20">
        <v>14.0</v>
      </c>
      <c r="H9" s="20">
        <f t="shared" si="1"/>
        <v>14</v>
      </c>
      <c r="I9" s="21">
        <f t="shared" si="2"/>
        <v>0.8</v>
      </c>
      <c r="J9" s="21">
        <f t="shared" si="3"/>
        <v>0.1076923077</v>
      </c>
    </row>
    <row r="10">
      <c r="A10" s="22" t="s">
        <v>13</v>
      </c>
      <c r="B10" s="23" t="s">
        <v>10</v>
      </c>
      <c r="C10" s="24">
        <v>325.0</v>
      </c>
      <c r="D10" s="24">
        <v>490.0</v>
      </c>
      <c r="E10" s="24">
        <v>3.0</v>
      </c>
      <c r="F10" s="24">
        <v>211.0</v>
      </c>
      <c r="G10" s="24">
        <v>62.0</v>
      </c>
      <c r="H10" s="25">
        <f t="shared" si="1"/>
        <v>14</v>
      </c>
      <c r="I10" s="26">
        <f t="shared" si="2"/>
        <v>0.6492307692</v>
      </c>
      <c r="J10" s="27">
        <f t="shared" si="3"/>
        <v>0.1907692308</v>
      </c>
    </row>
    <row r="11">
      <c r="A11" s="18" t="s">
        <v>13</v>
      </c>
      <c r="B11" s="19" t="s">
        <v>11</v>
      </c>
      <c r="C11" s="20">
        <v>95.0</v>
      </c>
      <c r="D11" s="20">
        <v>430.0</v>
      </c>
      <c r="E11" s="20">
        <v>0.0</v>
      </c>
      <c r="F11" s="20">
        <v>81.0</v>
      </c>
      <c r="G11" s="20">
        <v>9.0</v>
      </c>
      <c r="H11" s="20">
        <f t="shared" si="1"/>
        <v>14</v>
      </c>
      <c r="I11" s="21">
        <f t="shared" si="2"/>
        <v>0.8526315789</v>
      </c>
      <c r="J11" s="21">
        <f t="shared" si="3"/>
        <v>0.09473684211</v>
      </c>
    </row>
    <row r="12">
      <c r="A12" s="22" t="s">
        <v>14</v>
      </c>
      <c r="B12" s="23" t="s">
        <v>9</v>
      </c>
      <c r="C12" s="24">
        <v>140.0</v>
      </c>
      <c r="D12" s="24">
        <v>520.0</v>
      </c>
      <c r="E12" s="24">
        <v>1.0</v>
      </c>
      <c r="F12" s="24">
        <v>112.0</v>
      </c>
      <c r="G12" s="24">
        <v>18.0</v>
      </c>
      <c r="H12" s="25">
        <f t="shared" si="1"/>
        <v>14</v>
      </c>
      <c r="I12" s="26">
        <f t="shared" si="2"/>
        <v>0.8</v>
      </c>
      <c r="J12" s="27">
        <f t="shared" si="3"/>
        <v>0.1285714286</v>
      </c>
    </row>
    <row r="13">
      <c r="A13" s="18" t="s">
        <v>14</v>
      </c>
      <c r="B13" s="19" t="s">
        <v>10</v>
      </c>
      <c r="C13" s="20">
        <v>360.0</v>
      </c>
      <c r="D13" s="20">
        <v>550.0</v>
      </c>
      <c r="E13" s="20">
        <v>6.0</v>
      </c>
      <c r="F13" s="20">
        <v>234.0</v>
      </c>
      <c r="G13" s="20">
        <v>70.0</v>
      </c>
      <c r="H13" s="20">
        <f t="shared" si="1"/>
        <v>14</v>
      </c>
      <c r="I13" s="21">
        <f t="shared" si="2"/>
        <v>0.65</v>
      </c>
      <c r="J13" s="21">
        <f t="shared" si="3"/>
        <v>0.1944444444</v>
      </c>
    </row>
    <row r="14">
      <c r="A14" s="22" t="s">
        <v>14</v>
      </c>
      <c r="B14" s="23" t="s">
        <v>11</v>
      </c>
      <c r="C14" s="24">
        <v>100.0</v>
      </c>
      <c r="D14" s="24">
        <v>460.0</v>
      </c>
      <c r="E14" s="24">
        <v>1.0</v>
      </c>
      <c r="F14" s="24">
        <v>84.0</v>
      </c>
      <c r="G14" s="24">
        <v>10.0</v>
      </c>
      <c r="H14" s="25">
        <f t="shared" si="1"/>
        <v>14</v>
      </c>
      <c r="I14" s="26">
        <f t="shared" si="2"/>
        <v>0.84</v>
      </c>
      <c r="J14" s="27">
        <f t="shared" si="3"/>
        <v>0.1</v>
      </c>
    </row>
    <row r="15">
      <c r="A15" s="18" t="s">
        <v>15</v>
      </c>
      <c r="B15" s="19" t="s">
        <v>9</v>
      </c>
      <c r="C15" s="20">
        <v>125.0</v>
      </c>
      <c r="D15" s="20">
        <v>470.0</v>
      </c>
      <c r="E15" s="20">
        <v>2.0</v>
      </c>
      <c r="F15" s="20">
        <v>101.0</v>
      </c>
      <c r="G15" s="20">
        <v>13.0</v>
      </c>
      <c r="H15" s="20">
        <f t="shared" si="1"/>
        <v>14</v>
      </c>
      <c r="I15" s="21">
        <f t="shared" si="2"/>
        <v>0.808</v>
      </c>
      <c r="J15" s="21">
        <f t="shared" si="3"/>
        <v>0.104</v>
      </c>
    </row>
    <row r="16">
      <c r="A16" s="22" t="s">
        <v>15</v>
      </c>
      <c r="B16" s="23" t="s">
        <v>10</v>
      </c>
      <c r="C16" s="24">
        <v>315.0</v>
      </c>
      <c r="D16" s="24">
        <v>480.0</v>
      </c>
      <c r="E16" s="24">
        <v>4.0</v>
      </c>
      <c r="F16" s="24">
        <v>208.0</v>
      </c>
      <c r="G16" s="24">
        <v>58.0</v>
      </c>
      <c r="H16" s="25">
        <f t="shared" si="1"/>
        <v>14</v>
      </c>
      <c r="I16" s="26">
        <f t="shared" si="2"/>
        <v>0.6603174603</v>
      </c>
      <c r="J16" s="27">
        <f t="shared" si="3"/>
        <v>0.1841269841</v>
      </c>
    </row>
    <row r="17">
      <c r="A17" s="18" t="s">
        <v>15</v>
      </c>
      <c r="B17" s="19" t="s">
        <v>11</v>
      </c>
      <c r="C17" s="20">
        <v>88.0</v>
      </c>
      <c r="D17" s="20">
        <v>410.0</v>
      </c>
      <c r="E17" s="20">
        <v>0.0</v>
      </c>
      <c r="F17" s="20">
        <v>74.0</v>
      </c>
      <c r="G17" s="20">
        <v>9.0</v>
      </c>
      <c r="H17" s="20">
        <f t="shared" si="1"/>
        <v>14</v>
      </c>
      <c r="I17" s="21">
        <f t="shared" si="2"/>
        <v>0.8409090909</v>
      </c>
      <c r="J17" s="21">
        <f t="shared" si="3"/>
        <v>0.1022727273</v>
      </c>
    </row>
    <row r="18">
      <c r="A18" s="22" t="s">
        <v>16</v>
      </c>
      <c r="B18" s="23" t="s">
        <v>9</v>
      </c>
      <c r="C18" s="24">
        <v>118.0</v>
      </c>
      <c r="D18" s="24">
        <v>440.0</v>
      </c>
      <c r="E18" s="24">
        <v>0.0</v>
      </c>
      <c r="F18" s="24">
        <v>96.0</v>
      </c>
      <c r="G18" s="24">
        <v>14.0</v>
      </c>
      <c r="H18" s="25">
        <f t="shared" si="1"/>
        <v>15</v>
      </c>
      <c r="I18" s="26">
        <f t="shared" si="2"/>
        <v>0.813559322</v>
      </c>
      <c r="J18" s="27">
        <f t="shared" si="3"/>
        <v>0.1186440678</v>
      </c>
    </row>
    <row r="19">
      <c r="A19" s="18" t="s">
        <v>16</v>
      </c>
      <c r="B19" s="19" t="s">
        <v>10</v>
      </c>
      <c r="C19" s="20">
        <v>290.0</v>
      </c>
      <c r="D19" s="20">
        <v>460.0</v>
      </c>
      <c r="E19" s="20">
        <v>3.0</v>
      </c>
      <c r="F19" s="20">
        <v>191.0</v>
      </c>
      <c r="G19" s="20">
        <v>52.0</v>
      </c>
      <c r="H19" s="20">
        <f t="shared" si="1"/>
        <v>15</v>
      </c>
      <c r="I19" s="21">
        <f t="shared" si="2"/>
        <v>0.6586206897</v>
      </c>
      <c r="J19" s="21">
        <f t="shared" si="3"/>
        <v>0.1793103448</v>
      </c>
    </row>
    <row r="20">
      <c r="A20" s="22" t="s">
        <v>16</v>
      </c>
      <c r="B20" s="23" t="s">
        <v>11</v>
      </c>
      <c r="C20" s="24">
        <v>92.0</v>
      </c>
      <c r="D20" s="24">
        <v>430.0</v>
      </c>
      <c r="E20" s="24">
        <v>1.0</v>
      </c>
      <c r="F20" s="24">
        <v>80.0</v>
      </c>
      <c r="G20" s="24">
        <v>7.0</v>
      </c>
      <c r="H20" s="25">
        <f t="shared" si="1"/>
        <v>15</v>
      </c>
      <c r="I20" s="26">
        <f t="shared" si="2"/>
        <v>0.8695652174</v>
      </c>
      <c r="J20" s="27">
        <f t="shared" si="3"/>
        <v>0.07608695652</v>
      </c>
    </row>
    <row r="21" ht="15.75" customHeight="1">
      <c r="A21" s="18" t="s">
        <v>17</v>
      </c>
      <c r="B21" s="19" t="s">
        <v>9</v>
      </c>
      <c r="C21" s="20">
        <v>122.0</v>
      </c>
      <c r="D21" s="20">
        <v>450.0</v>
      </c>
      <c r="E21" s="20">
        <v>1.0</v>
      </c>
      <c r="F21" s="20">
        <v>100.0</v>
      </c>
      <c r="G21" s="20">
        <v>12.0</v>
      </c>
      <c r="H21" s="20">
        <f t="shared" si="1"/>
        <v>15</v>
      </c>
      <c r="I21" s="21">
        <f t="shared" si="2"/>
        <v>0.8196721311</v>
      </c>
      <c r="J21" s="21">
        <f t="shared" si="3"/>
        <v>0.09836065574</v>
      </c>
    </row>
    <row r="22" ht="15.75" customHeight="1">
      <c r="A22" s="22" t="s">
        <v>17</v>
      </c>
      <c r="B22" s="23" t="s">
        <v>10</v>
      </c>
      <c r="C22" s="24">
        <v>305.0</v>
      </c>
      <c r="D22" s="24">
        <v>470.0</v>
      </c>
      <c r="E22" s="24">
        <v>2.0</v>
      </c>
      <c r="F22" s="24">
        <v>201.0</v>
      </c>
      <c r="G22" s="24">
        <v>55.0</v>
      </c>
      <c r="H22" s="25">
        <f t="shared" si="1"/>
        <v>15</v>
      </c>
      <c r="I22" s="26">
        <f t="shared" si="2"/>
        <v>0.6590163934</v>
      </c>
      <c r="J22" s="27">
        <f t="shared" si="3"/>
        <v>0.1803278689</v>
      </c>
    </row>
    <row r="23" ht="15.75" customHeight="1">
      <c r="A23" s="18" t="s">
        <v>17</v>
      </c>
      <c r="B23" s="19" t="s">
        <v>11</v>
      </c>
      <c r="C23" s="20">
        <v>87.0</v>
      </c>
      <c r="D23" s="20">
        <v>420.0</v>
      </c>
      <c r="E23" s="20">
        <v>0.0</v>
      </c>
      <c r="F23" s="20">
        <v>75.0</v>
      </c>
      <c r="G23" s="20">
        <v>7.0</v>
      </c>
      <c r="H23" s="20">
        <f t="shared" si="1"/>
        <v>15</v>
      </c>
      <c r="I23" s="21">
        <f t="shared" si="2"/>
        <v>0.8620689655</v>
      </c>
      <c r="J23" s="21">
        <f t="shared" si="3"/>
        <v>0.08045977011</v>
      </c>
    </row>
    <row r="24" ht="15.75" customHeight="1">
      <c r="A24" s="22" t="s">
        <v>18</v>
      </c>
      <c r="B24" s="23" t="s">
        <v>9</v>
      </c>
      <c r="C24" s="24">
        <v>135.0</v>
      </c>
      <c r="D24" s="24">
        <v>460.0</v>
      </c>
      <c r="E24" s="24">
        <v>1.0</v>
      </c>
      <c r="F24" s="24">
        <v>110.0</v>
      </c>
      <c r="G24" s="24">
        <v>15.0</v>
      </c>
      <c r="H24" s="25">
        <f t="shared" si="1"/>
        <v>15</v>
      </c>
      <c r="I24" s="26">
        <f t="shared" si="2"/>
        <v>0.8148148148</v>
      </c>
      <c r="J24" s="27">
        <f t="shared" si="3"/>
        <v>0.1111111111</v>
      </c>
    </row>
    <row r="25" ht="15.75" customHeight="1">
      <c r="A25" s="18" t="s">
        <v>18</v>
      </c>
      <c r="B25" s="19" t="s">
        <v>10</v>
      </c>
      <c r="C25" s="20">
        <v>350.0</v>
      </c>
      <c r="D25" s="20">
        <v>510.0</v>
      </c>
      <c r="E25" s="20">
        <v>5.0</v>
      </c>
      <c r="F25" s="20">
        <v>224.0</v>
      </c>
      <c r="G25" s="20">
        <v>72.0</v>
      </c>
      <c r="H25" s="20">
        <f t="shared" si="1"/>
        <v>15</v>
      </c>
      <c r="I25" s="21">
        <f t="shared" si="2"/>
        <v>0.64</v>
      </c>
      <c r="J25" s="21">
        <f t="shared" si="3"/>
        <v>0.2057142857</v>
      </c>
    </row>
    <row r="26" ht="15.75" customHeight="1">
      <c r="A26" s="22" t="s">
        <v>18</v>
      </c>
      <c r="B26" s="23" t="s">
        <v>11</v>
      </c>
      <c r="C26" s="24">
        <v>96.0</v>
      </c>
      <c r="D26" s="24">
        <v>440.0</v>
      </c>
      <c r="E26" s="24">
        <v>0.0</v>
      </c>
      <c r="F26" s="24">
        <v>81.0</v>
      </c>
      <c r="G26" s="24">
        <v>10.0</v>
      </c>
      <c r="H26" s="25">
        <f t="shared" si="1"/>
        <v>15</v>
      </c>
      <c r="I26" s="26">
        <f t="shared" si="2"/>
        <v>0.84375</v>
      </c>
      <c r="J26" s="27">
        <f t="shared" si="3"/>
        <v>0.1041666667</v>
      </c>
    </row>
    <row r="27" ht="15.75" customHeight="1">
      <c r="A27" s="18" t="s">
        <v>19</v>
      </c>
      <c r="B27" s="19" t="s">
        <v>9</v>
      </c>
      <c r="C27" s="20">
        <v>128.0</v>
      </c>
      <c r="D27" s="20">
        <v>490.0</v>
      </c>
      <c r="E27" s="20">
        <v>2.0</v>
      </c>
      <c r="F27" s="20">
        <v>102.0</v>
      </c>
      <c r="G27" s="20">
        <v>16.0</v>
      </c>
      <c r="H27" s="20">
        <f t="shared" si="1"/>
        <v>15</v>
      </c>
      <c r="I27" s="21">
        <f t="shared" si="2"/>
        <v>0.796875</v>
      </c>
      <c r="J27" s="21">
        <f t="shared" si="3"/>
        <v>0.125</v>
      </c>
    </row>
    <row r="28" ht="15.75" customHeight="1">
      <c r="A28" s="22" t="s">
        <v>19</v>
      </c>
      <c r="B28" s="23" t="s">
        <v>10</v>
      </c>
      <c r="C28" s="24">
        <v>330.0</v>
      </c>
      <c r="D28" s="24">
        <v>530.0</v>
      </c>
      <c r="E28" s="24">
        <v>4.0</v>
      </c>
      <c r="F28" s="24">
        <v>211.0</v>
      </c>
      <c r="G28" s="24">
        <v>66.0</v>
      </c>
      <c r="H28" s="25">
        <f t="shared" si="1"/>
        <v>15</v>
      </c>
      <c r="I28" s="26">
        <f t="shared" si="2"/>
        <v>0.6393939394</v>
      </c>
      <c r="J28" s="27">
        <f t="shared" si="3"/>
        <v>0.2</v>
      </c>
    </row>
    <row r="29" ht="15.75" customHeight="1">
      <c r="A29" s="18" t="s">
        <v>19</v>
      </c>
      <c r="B29" s="19" t="s">
        <v>11</v>
      </c>
      <c r="C29" s="20">
        <v>91.0</v>
      </c>
      <c r="D29" s="20">
        <v>450.0</v>
      </c>
      <c r="E29" s="20">
        <v>1.0</v>
      </c>
      <c r="F29" s="20">
        <v>76.0</v>
      </c>
      <c r="G29" s="20">
        <v>9.0</v>
      </c>
      <c r="H29" s="20">
        <f t="shared" si="1"/>
        <v>15</v>
      </c>
      <c r="I29" s="21">
        <f t="shared" si="2"/>
        <v>0.8351648352</v>
      </c>
      <c r="J29" s="21">
        <f t="shared" si="3"/>
        <v>0.0989010989</v>
      </c>
    </row>
    <row r="30" ht="15.75" customHeight="1">
      <c r="A30" s="22" t="s">
        <v>20</v>
      </c>
      <c r="B30" s="23" t="s">
        <v>9</v>
      </c>
      <c r="C30" s="24">
        <v>142.0</v>
      </c>
      <c r="D30" s="24">
        <v>510.0</v>
      </c>
      <c r="E30" s="24">
        <v>1.0</v>
      </c>
      <c r="F30" s="24">
        <v>115.0</v>
      </c>
      <c r="G30" s="24">
        <v>17.0</v>
      </c>
      <c r="H30" s="25">
        <f t="shared" si="1"/>
        <v>15</v>
      </c>
      <c r="I30" s="26">
        <f t="shared" si="2"/>
        <v>0.8098591549</v>
      </c>
      <c r="J30" s="27">
        <f t="shared" si="3"/>
        <v>0.1197183099</v>
      </c>
    </row>
    <row r="31" ht="15.75" customHeight="1">
      <c r="A31" s="18" t="s">
        <v>20</v>
      </c>
      <c r="B31" s="19" t="s">
        <v>10</v>
      </c>
      <c r="C31" s="20">
        <v>380.0</v>
      </c>
      <c r="D31" s="20">
        <v>560.0</v>
      </c>
      <c r="E31" s="20">
        <v>7.0</v>
      </c>
      <c r="F31" s="20">
        <v>243.0</v>
      </c>
      <c r="G31" s="20">
        <v>76.0</v>
      </c>
      <c r="H31" s="20">
        <f t="shared" si="1"/>
        <v>15</v>
      </c>
      <c r="I31" s="21">
        <f t="shared" si="2"/>
        <v>0.6394736842</v>
      </c>
      <c r="J31" s="21">
        <f t="shared" si="3"/>
        <v>0.2</v>
      </c>
    </row>
    <row r="32" ht="15.75" customHeight="1">
      <c r="A32" s="22" t="s">
        <v>20</v>
      </c>
      <c r="B32" s="23" t="s">
        <v>11</v>
      </c>
      <c r="C32" s="24">
        <v>105.0</v>
      </c>
      <c r="D32" s="24">
        <v>470.0</v>
      </c>
      <c r="E32" s="24">
        <v>2.0</v>
      </c>
      <c r="F32" s="24">
        <v>88.0</v>
      </c>
      <c r="G32" s="24">
        <v>11.0</v>
      </c>
      <c r="H32" s="25">
        <f t="shared" si="1"/>
        <v>15</v>
      </c>
      <c r="I32" s="26">
        <f t="shared" si="2"/>
        <v>0.8380952381</v>
      </c>
      <c r="J32" s="27">
        <f t="shared" si="3"/>
        <v>0.1047619048</v>
      </c>
    </row>
    <row r="33" ht="15.75" customHeight="1">
      <c r="A33" s="18" t="s">
        <v>21</v>
      </c>
      <c r="B33" s="19" t="s">
        <v>9</v>
      </c>
      <c r="C33" s="20">
        <v>150.0</v>
      </c>
      <c r="D33" s="20">
        <v>530.0</v>
      </c>
      <c r="E33" s="20">
        <v>2.0</v>
      </c>
      <c r="F33" s="20">
        <v>121.0</v>
      </c>
      <c r="G33" s="20">
        <v>19.0</v>
      </c>
      <c r="H33" s="20">
        <f t="shared" si="1"/>
        <v>15</v>
      </c>
      <c r="I33" s="21">
        <f t="shared" si="2"/>
        <v>0.8066666667</v>
      </c>
      <c r="J33" s="21">
        <f t="shared" si="3"/>
        <v>0.1266666667</v>
      </c>
    </row>
    <row r="34" ht="15.75" customHeight="1">
      <c r="A34" s="22" t="s">
        <v>21</v>
      </c>
      <c r="B34" s="23" t="s">
        <v>10</v>
      </c>
      <c r="C34" s="24">
        <v>395.0</v>
      </c>
      <c r="D34" s="24">
        <v>580.0</v>
      </c>
      <c r="E34" s="24">
        <v>8.0</v>
      </c>
      <c r="F34" s="24">
        <v>252.0</v>
      </c>
      <c r="G34" s="24">
        <v>80.0</v>
      </c>
      <c r="H34" s="25">
        <f t="shared" si="1"/>
        <v>15</v>
      </c>
      <c r="I34" s="26">
        <f t="shared" si="2"/>
        <v>0.6379746835</v>
      </c>
      <c r="J34" s="27">
        <f t="shared" si="3"/>
        <v>0.2025316456</v>
      </c>
    </row>
    <row r="35" ht="15.75" customHeight="1">
      <c r="A35" s="18" t="s">
        <v>21</v>
      </c>
      <c r="B35" s="19" t="s">
        <v>11</v>
      </c>
      <c r="C35" s="20">
        <v>110.0</v>
      </c>
      <c r="D35" s="20">
        <v>490.0</v>
      </c>
      <c r="E35" s="20">
        <v>1.0</v>
      </c>
      <c r="F35" s="20">
        <v>92.0</v>
      </c>
      <c r="G35" s="20">
        <v>12.0</v>
      </c>
      <c r="H35" s="20">
        <f t="shared" si="1"/>
        <v>15</v>
      </c>
      <c r="I35" s="21">
        <f t="shared" si="2"/>
        <v>0.8363636364</v>
      </c>
      <c r="J35" s="21">
        <f t="shared" si="3"/>
        <v>0.1090909091</v>
      </c>
    </row>
    <row r="36" ht="15.75" customHeight="1">
      <c r="A36" s="22" t="s">
        <v>22</v>
      </c>
      <c r="B36" s="23" t="s">
        <v>9</v>
      </c>
      <c r="C36" s="24">
        <v>110.0</v>
      </c>
      <c r="D36" s="24">
        <v>2500.0</v>
      </c>
      <c r="E36" s="24">
        <v>22.0</v>
      </c>
      <c r="F36" s="24">
        <v>65.0</v>
      </c>
      <c r="G36" s="24">
        <v>10.0</v>
      </c>
      <c r="H36" s="25">
        <f t="shared" si="1"/>
        <v>15</v>
      </c>
      <c r="I36" s="26">
        <f t="shared" si="2"/>
        <v>0.5909090909</v>
      </c>
      <c r="J36" s="27">
        <f t="shared" si="3"/>
        <v>0.09090909091</v>
      </c>
    </row>
    <row r="37" ht="15.75" customHeight="1">
      <c r="A37" s="18" t="s">
        <v>22</v>
      </c>
      <c r="B37" s="19" t="s">
        <v>10</v>
      </c>
      <c r="C37" s="20">
        <v>280.0</v>
      </c>
      <c r="D37" s="20">
        <v>3100.0</v>
      </c>
      <c r="E37" s="20">
        <v>64.0</v>
      </c>
      <c r="F37" s="20">
        <v>130.0</v>
      </c>
      <c r="G37" s="20">
        <v>42.0</v>
      </c>
      <c r="H37" s="20">
        <f t="shared" si="1"/>
        <v>15</v>
      </c>
      <c r="I37" s="21">
        <f t="shared" si="2"/>
        <v>0.4642857143</v>
      </c>
      <c r="J37" s="21">
        <f t="shared" si="3"/>
        <v>0.15</v>
      </c>
    </row>
    <row r="38" ht="15.75" customHeight="1">
      <c r="A38" s="22" t="s">
        <v>22</v>
      </c>
      <c r="B38" s="23" t="s">
        <v>11</v>
      </c>
      <c r="C38" s="24">
        <v>75.0</v>
      </c>
      <c r="D38" s="24">
        <v>2100.0</v>
      </c>
      <c r="E38" s="24">
        <v>15.0</v>
      </c>
      <c r="F38" s="24">
        <v>48.0</v>
      </c>
      <c r="G38" s="24">
        <v>5.0</v>
      </c>
      <c r="H38" s="25">
        <f t="shared" si="1"/>
        <v>15</v>
      </c>
      <c r="I38" s="26">
        <f t="shared" si="2"/>
        <v>0.64</v>
      </c>
      <c r="J38" s="27">
        <f t="shared" si="3"/>
        <v>0.06666666667</v>
      </c>
    </row>
    <row r="39" ht="15.75" customHeight="1">
      <c r="A39" s="18" t="s">
        <v>23</v>
      </c>
      <c r="B39" s="19" t="s">
        <v>9</v>
      </c>
      <c r="C39" s="20">
        <v>95.0</v>
      </c>
      <c r="D39" s="20">
        <v>5800.0</v>
      </c>
      <c r="E39" s="20">
        <v>45.0</v>
      </c>
      <c r="F39" s="20">
        <v>42.0</v>
      </c>
      <c r="G39" s="20">
        <v>8.0</v>
      </c>
      <c r="H39" s="20">
        <f t="shared" si="1"/>
        <v>16</v>
      </c>
      <c r="I39" s="21">
        <f t="shared" si="2"/>
        <v>0.4421052632</v>
      </c>
      <c r="J39" s="21">
        <f t="shared" si="3"/>
        <v>0.08421052632</v>
      </c>
    </row>
    <row r="40" ht="15.75" customHeight="1">
      <c r="A40" s="22" t="s">
        <v>23</v>
      </c>
      <c r="B40" s="23" t="s">
        <v>10</v>
      </c>
      <c r="C40" s="24">
        <v>210.0</v>
      </c>
      <c r="D40" s="24">
        <v>6400.0</v>
      </c>
      <c r="E40" s="24">
        <v>112.0</v>
      </c>
      <c r="F40" s="24">
        <v>82.0</v>
      </c>
      <c r="G40" s="24">
        <v>25.0</v>
      </c>
      <c r="H40" s="25">
        <f t="shared" si="1"/>
        <v>16</v>
      </c>
      <c r="I40" s="26">
        <f t="shared" si="2"/>
        <v>0.3904761905</v>
      </c>
      <c r="J40" s="27">
        <f t="shared" si="3"/>
        <v>0.119047619</v>
      </c>
    </row>
    <row r="41" ht="15.75" customHeight="1">
      <c r="A41" s="18" t="s">
        <v>23</v>
      </c>
      <c r="B41" s="19" t="s">
        <v>11</v>
      </c>
      <c r="C41" s="20">
        <v>60.0</v>
      </c>
      <c r="D41" s="20">
        <v>4900.0</v>
      </c>
      <c r="E41" s="20">
        <v>31.0</v>
      </c>
      <c r="F41" s="20">
        <v>24.0</v>
      </c>
      <c r="G41" s="20">
        <v>4.0</v>
      </c>
      <c r="H41" s="20">
        <f t="shared" si="1"/>
        <v>16</v>
      </c>
      <c r="I41" s="21">
        <f t="shared" si="2"/>
        <v>0.4</v>
      </c>
      <c r="J41" s="21">
        <f t="shared" si="3"/>
        <v>0.06666666667</v>
      </c>
    </row>
    <row r="42" ht="15.75" customHeight="1">
      <c r="A42" s="22" t="s">
        <v>24</v>
      </c>
      <c r="B42" s="23" t="s">
        <v>9</v>
      </c>
      <c r="C42" s="24">
        <v>88.0</v>
      </c>
      <c r="D42" s="24">
        <v>8200.0</v>
      </c>
      <c r="E42" s="24">
        <v>67.0</v>
      </c>
      <c r="F42" s="24">
        <v>31.0</v>
      </c>
      <c r="G42" s="24">
        <v>6.0</v>
      </c>
      <c r="H42" s="25">
        <f t="shared" si="1"/>
        <v>16</v>
      </c>
      <c r="I42" s="26">
        <f t="shared" si="2"/>
        <v>0.3522727273</v>
      </c>
      <c r="J42" s="27">
        <f t="shared" si="3"/>
        <v>0.06818181818</v>
      </c>
    </row>
    <row r="43" ht="15.75" customHeight="1">
      <c r="A43" s="18" t="s">
        <v>24</v>
      </c>
      <c r="B43" s="19" t="s">
        <v>10</v>
      </c>
      <c r="C43" s="20">
        <v>180.0</v>
      </c>
      <c r="D43" s="20">
        <v>9100.0</v>
      </c>
      <c r="E43" s="20">
        <v>145.0</v>
      </c>
      <c r="F43" s="20">
        <v>58.0</v>
      </c>
      <c r="G43" s="20">
        <v>18.0</v>
      </c>
      <c r="H43" s="20">
        <f t="shared" si="1"/>
        <v>16</v>
      </c>
      <c r="I43" s="21">
        <f t="shared" si="2"/>
        <v>0.3222222222</v>
      </c>
      <c r="J43" s="21">
        <f t="shared" si="3"/>
        <v>0.1</v>
      </c>
    </row>
    <row r="44" ht="15.75" customHeight="1">
      <c r="A44" s="22" t="s">
        <v>24</v>
      </c>
      <c r="B44" s="23" t="s">
        <v>11</v>
      </c>
      <c r="C44" s="24">
        <v>52.0</v>
      </c>
      <c r="D44" s="24">
        <v>7600.0</v>
      </c>
      <c r="E44" s="24">
        <v>48.0</v>
      </c>
      <c r="F44" s="24">
        <v>16.0</v>
      </c>
      <c r="G44" s="24">
        <v>3.0</v>
      </c>
      <c r="H44" s="25">
        <f t="shared" si="1"/>
        <v>16</v>
      </c>
      <c r="I44" s="26">
        <f t="shared" si="2"/>
        <v>0.3076923077</v>
      </c>
      <c r="J44" s="27">
        <f t="shared" si="3"/>
        <v>0.05769230769</v>
      </c>
    </row>
    <row r="45" ht="15.75" customHeight="1">
      <c r="A45" s="18" t="s">
        <v>25</v>
      </c>
      <c r="B45" s="19" t="s">
        <v>9</v>
      </c>
      <c r="C45" s="20">
        <v>102.0</v>
      </c>
      <c r="D45" s="20">
        <v>4100.0</v>
      </c>
      <c r="E45" s="20">
        <v>33.0</v>
      </c>
      <c r="F45" s="20">
        <v>55.0</v>
      </c>
      <c r="G45" s="20">
        <v>9.0</v>
      </c>
      <c r="H45" s="20">
        <f t="shared" si="1"/>
        <v>16</v>
      </c>
      <c r="I45" s="21">
        <f t="shared" si="2"/>
        <v>0.5392156863</v>
      </c>
      <c r="J45" s="21">
        <f t="shared" si="3"/>
        <v>0.08823529412</v>
      </c>
    </row>
    <row r="46" ht="15.75" customHeight="1">
      <c r="A46" s="22" t="s">
        <v>25</v>
      </c>
      <c r="B46" s="23" t="s">
        <v>10</v>
      </c>
      <c r="C46" s="24">
        <v>240.0</v>
      </c>
      <c r="D46" s="24">
        <v>4800.0</v>
      </c>
      <c r="E46" s="24">
        <v>89.0</v>
      </c>
      <c r="F46" s="24">
        <v>115.0</v>
      </c>
      <c r="G46" s="24">
        <v>34.0</v>
      </c>
      <c r="H46" s="25">
        <f t="shared" si="1"/>
        <v>16</v>
      </c>
      <c r="I46" s="26">
        <f t="shared" si="2"/>
        <v>0.4791666667</v>
      </c>
      <c r="J46" s="27">
        <f t="shared" si="3"/>
        <v>0.1416666667</v>
      </c>
    </row>
    <row r="47" ht="15.75" customHeight="1">
      <c r="A47" s="18" t="s">
        <v>25</v>
      </c>
      <c r="B47" s="19" t="s">
        <v>11</v>
      </c>
      <c r="C47" s="20">
        <v>70.0</v>
      </c>
      <c r="D47" s="20">
        <v>3900.0</v>
      </c>
      <c r="E47" s="20">
        <v>24.0</v>
      </c>
      <c r="F47" s="20">
        <v>38.0</v>
      </c>
      <c r="G47" s="20">
        <v>6.0</v>
      </c>
      <c r="H47" s="20">
        <f t="shared" si="1"/>
        <v>16</v>
      </c>
      <c r="I47" s="21">
        <f t="shared" si="2"/>
        <v>0.5428571429</v>
      </c>
      <c r="J47" s="21">
        <f t="shared" si="3"/>
        <v>0.08571428571</v>
      </c>
    </row>
    <row r="48" ht="15.75" customHeight="1">
      <c r="A48" s="22" t="s">
        <v>26</v>
      </c>
      <c r="B48" s="23" t="s">
        <v>9</v>
      </c>
      <c r="C48" s="24">
        <v>125.0</v>
      </c>
      <c r="D48" s="24">
        <v>650.0</v>
      </c>
      <c r="E48" s="24">
        <v>4.0</v>
      </c>
      <c r="F48" s="24">
        <v>99.0</v>
      </c>
      <c r="G48" s="24">
        <v>14.0</v>
      </c>
      <c r="H48" s="25">
        <f t="shared" si="1"/>
        <v>16</v>
      </c>
      <c r="I48" s="26">
        <f t="shared" si="2"/>
        <v>0.792</v>
      </c>
      <c r="J48" s="27">
        <f t="shared" si="3"/>
        <v>0.112</v>
      </c>
    </row>
    <row r="49" ht="15.75" customHeight="1">
      <c r="A49" s="18" t="s">
        <v>26</v>
      </c>
      <c r="B49" s="19" t="s">
        <v>10</v>
      </c>
      <c r="C49" s="20">
        <v>320.0</v>
      </c>
      <c r="D49" s="20">
        <v>720.0</v>
      </c>
      <c r="E49" s="20">
        <v>12.0</v>
      </c>
      <c r="F49" s="20">
        <v>211.0</v>
      </c>
      <c r="G49" s="20">
        <v>61.0</v>
      </c>
      <c r="H49" s="20">
        <f t="shared" si="1"/>
        <v>16</v>
      </c>
      <c r="I49" s="21">
        <f t="shared" si="2"/>
        <v>0.659375</v>
      </c>
      <c r="J49" s="21">
        <f t="shared" si="3"/>
        <v>0.190625</v>
      </c>
    </row>
    <row r="50" ht="15.75" customHeight="1">
      <c r="A50" s="22" t="s">
        <v>26</v>
      </c>
      <c r="B50" s="23" t="s">
        <v>11</v>
      </c>
      <c r="C50" s="24">
        <v>85.0</v>
      </c>
      <c r="D50" s="24">
        <v>610.0</v>
      </c>
      <c r="E50" s="24">
        <v>3.0</v>
      </c>
      <c r="F50" s="24">
        <v>71.0</v>
      </c>
      <c r="G50" s="24">
        <v>8.0</v>
      </c>
      <c r="H50" s="25">
        <f t="shared" si="1"/>
        <v>16</v>
      </c>
      <c r="I50" s="26">
        <f t="shared" si="2"/>
        <v>0.8352941176</v>
      </c>
      <c r="J50" s="27">
        <f t="shared" si="3"/>
        <v>0.09411764706</v>
      </c>
    </row>
    <row r="51" ht="15.75" customHeight="1">
      <c r="A51" s="18" t="s">
        <v>27</v>
      </c>
      <c r="B51" s="19" t="s">
        <v>9</v>
      </c>
      <c r="C51" s="20">
        <v>130.0</v>
      </c>
      <c r="D51" s="20">
        <v>480.0</v>
      </c>
      <c r="E51" s="20">
        <v>1.0</v>
      </c>
      <c r="F51" s="20">
        <v>105.0</v>
      </c>
      <c r="G51" s="20">
        <v>15.0</v>
      </c>
      <c r="H51" s="20">
        <f t="shared" si="1"/>
        <v>16</v>
      </c>
      <c r="I51" s="21">
        <f t="shared" si="2"/>
        <v>0.8076923077</v>
      </c>
      <c r="J51" s="21">
        <f t="shared" si="3"/>
        <v>0.1153846154</v>
      </c>
    </row>
    <row r="52" ht="15.75" customHeight="1">
      <c r="A52" s="22" t="s">
        <v>27</v>
      </c>
      <c r="B52" s="23" t="s">
        <v>10</v>
      </c>
      <c r="C52" s="24">
        <v>345.0</v>
      </c>
      <c r="D52" s="24">
        <v>510.0</v>
      </c>
      <c r="E52" s="24">
        <v>5.0</v>
      </c>
      <c r="F52" s="24">
        <v>228.0</v>
      </c>
      <c r="G52" s="24">
        <v>65.0</v>
      </c>
      <c r="H52" s="25">
        <f t="shared" si="1"/>
        <v>16</v>
      </c>
      <c r="I52" s="26">
        <f t="shared" si="2"/>
        <v>0.6608695652</v>
      </c>
      <c r="J52" s="27">
        <f t="shared" si="3"/>
        <v>0.1884057971</v>
      </c>
    </row>
    <row r="53" ht="15.75" customHeight="1">
      <c r="A53" s="18" t="s">
        <v>27</v>
      </c>
      <c r="B53" s="19" t="s">
        <v>11</v>
      </c>
      <c r="C53" s="20">
        <v>92.0</v>
      </c>
      <c r="D53" s="20">
        <v>440.0</v>
      </c>
      <c r="E53" s="20">
        <v>1.0</v>
      </c>
      <c r="F53" s="20">
        <v>79.0</v>
      </c>
      <c r="G53" s="20">
        <v>9.0</v>
      </c>
      <c r="H53" s="20">
        <f t="shared" si="1"/>
        <v>16</v>
      </c>
      <c r="I53" s="21">
        <f t="shared" si="2"/>
        <v>0.8586956522</v>
      </c>
      <c r="J53" s="21">
        <f t="shared" si="3"/>
        <v>0.09782608696</v>
      </c>
    </row>
    <row r="54" ht="15.75" customHeight="1">
      <c r="A54" s="22" t="s">
        <v>28</v>
      </c>
      <c r="B54" s="23" t="s">
        <v>9</v>
      </c>
      <c r="C54" s="24">
        <v>128.0</v>
      </c>
      <c r="D54" s="24">
        <v>460.0</v>
      </c>
      <c r="E54" s="24">
        <v>0.0</v>
      </c>
      <c r="F54" s="24">
        <v>104.0</v>
      </c>
      <c r="G54" s="24">
        <v>13.0</v>
      </c>
      <c r="H54" s="25">
        <f t="shared" si="1"/>
        <v>16</v>
      </c>
      <c r="I54" s="26">
        <f t="shared" si="2"/>
        <v>0.8125</v>
      </c>
      <c r="J54" s="27">
        <f t="shared" si="3"/>
        <v>0.1015625</v>
      </c>
    </row>
    <row r="55" ht="15.75" customHeight="1">
      <c r="A55" s="18" t="s">
        <v>28</v>
      </c>
      <c r="B55" s="19" t="s">
        <v>10</v>
      </c>
      <c r="C55" s="20">
        <v>330.0</v>
      </c>
      <c r="D55" s="20">
        <v>490.0</v>
      </c>
      <c r="E55" s="20">
        <v>4.0</v>
      </c>
      <c r="F55" s="20">
        <v>218.0</v>
      </c>
      <c r="G55" s="20">
        <v>62.0</v>
      </c>
      <c r="H55" s="20">
        <f t="shared" si="1"/>
        <v>16</v>
      </c>
      <c r="I55" s="21">
        <f t="shared" si="2"/>
        <v>0.6606060606</v>
      </c>
      <c r="J55" s="21">
        <f t="shared" si="3"/>
        <v>0.1878787879</v>
      </c>
    </row>
    <row r="56" ht="15.75" customHeight="1">
      <c r="A56" s="22" t="s">
        <v>28</v>
      </c>
      <c r="B56" s="23" t="s">
        <v>11</v>
      </c>
      <c r="C56" s="24">
        <v>89.0</v>
      </c>
      <c r="D56" s="24">
        <v>420.0</v>
      </c>
      <c r="E56" s="24">
        <v>0.0</v>
      </c>
      <c r="F56" s="24">
        <v>77.0</v>
      </c>
      <c r="G56" s="24">
        <v>8.0</v>
      </c>
      <c r="H56" s="25">
        <f t="shared" si="1"/>
        <v>16</v>
      </c>
      <c r="I56" s="26">
        <f t="shared" si="2"/>
        <v>0.8651685393</v>
      </c>
      <c r="J56" s="27">
        <f t="shared" si="3"/>
        <v>0.08988764045</v>
      </c>
    </row>
    <row r="57" ht="15.75" customHeight="1">
      <c r="A57" s="18" t="s">
        <v>29</v>
      </c>
      <c r="B57" s="19" t="s">
        <v>9</v>
      </c>
      <c r="C57" s="20">
        <v>135.0</v>
      </c>
      <c r="D57" s="20">
        <v>450.0</v>
      </c>
      <c r="E57" s="20">
        <v>1.0</v>
      </c>
      <c r="F57" s="20">
        <v>111.0</v>
      </c>
      <c r="G57" s="20">
        <v>14.0</v>
      </c>
      <c r="H57" s="20">
        <f t="shared" si="1"/>
        <v>16</v>
      </c>
      <c r="I57" s="21">
        <f t="shared" si="2"/>
        <v>0.8222222222</v>
      </c>
      <c r="J57" s="21">
        <f t="shared" si="3"/>
        <v>0.1037037037</v>
      </c>
    </row>
    <row r="58" ht="15.75" customHeight="1">
      <c r="A58" s="22" t="s">
        <v>29</v>
      </c>
      <c r="B58" s="23" t="s">
        <v>10</v>
      </c>
      <c r="C58" s="24">
        <v>350.0</v>
      </c>
      <c r="D58" s="24">
        <v>480.0</v>
      </c>
      <c r="E58" s="24">
        <v>3.0</v>
      </c>
      <c r="F58" s="24">
        <v>231.0</v>
      </c>
      <c r="G58" s="24">
        <v>66.0</v>
      </c>
      <c r="H58" s="25">
        <f t="shared" si="1"/>
        <v>16</v>
      </c>
      <c r="I58" s="26">
        <f t="shared" si="2"/>
        <v>0.66</v>
      </c>
      <c r="J58" s="27">
        <f t="shared" si="3"/>
        <v>0.1885714286</v>
      </c>
    </row>
    <row r="59" ht="15.75" customHeight="1">
      <c r="A59" s="18" t="s">
        <v>29</v>
      </c>
      <c r="B59" s="19" t="s">
        <v>11</v>
      </c>
      <c r="C59" s="20">
        <v>94.0</v>
      </c>
      <c r="D59" s="20">
        <v>430.0</v>
      </c>
      <c r="E59" s="20">
        <v>0.0</v>
      </c>
      <c r="F59" s="20">
        <v>81.0</v>
      </c>
      <c r="G59" s="20">
        <v>9.0</v>
      </c>
      <c r="H59" s="20">
        <f t="shared" si="1"/>
        <v>16</v>
      </c>
      <c r="I59" s="21">
        <f t="shared" si="2"/>
        <v>0.8617021277</v>
      </c>
      <c r="J59" s="21">
        <f t="shared" si="3"/>
        <v>0.09574468085</v>
      </c>
    </row>
    <row r="60" ht="15.75" customHeight="1">
      <c r="A60" s="22" t="s">
        <v>30</v>
      </c>
      <c r="B60" s="23" t="s">
        <v>9</v>
      </c>
      <c r="C60" s="24">
        <v>140.0</v>
      </c>
      <c r="D60" s="24">
        <v>440.0</v>
      </c>
      <c r="E60" s="24">
        <v>0.0</v>
      </c>
      <c r="F60" s="24">
        <v>116.0</v>
      </c>
      <c r="G60" s="24">
        <v>14.0</v>
      </c>
      <c r="H60" s="25">
        <f t="shared" si="1"/>
        <v>17</v>
      </c>
      <c r="I60" s="26">
        <f t="shared" si="2"/>
        <v>0.8285714286</v>
      </c>
      <c r="J60" s="27">
        <f t="shared" si="3"/>
        <v>0.1</v>
      </c>
    </row>
    <row r="61" ht="15.75" customHeight="1">
      <c r="A61" s="18" t="s">
        <v>30</v>
      </c>
      <c r="B61" s="19" t="s">
        <v>10</v>
      </c>
      <c r="C61" s="20">
        <v>365.0</v>
      </c>
      <c r="D61" s="20">
        <v>470.0</v>
      </c>
      <c r="E61" s="20">
        <v>2.0</v>
      </c>
      <c r="F61" s="20">
        <v>242.0</v>
      </c>
      <c r="G61" s="20">
        <v>69.0</v>
      </c>
      <c r="H61" s="20">
        <f t="shared" si="1"/>
        <v>17</v>
      </c>
      <c r="I61" s="21">
        <f t="shared" si="2"/>
        <v>0.6630136986</v>
      </c>
      <c r="J61" s="21">
        <f t="shared" si="3"/>
        <v>0.1890410959</v>
      </c>
    </row>
    <row r="62" ht="15.75" customHeight="1">
      <c r="A62" s="22" t="s">
        <v>30</v>
      </c>
      <c r="B62" s="23" t="s">
        <v>11</v>
      </c>
      <c r="C62" s="24">
        <v>98.0</v>
      </c>
      <c r="D62" s="24">
        <v>410.0</v>
      </c>
      <c r="E62" s="24">
        <v>1.0</v>
      </c>
      <c r="F62" s="24">
        <v>85.0</v>
      </c>
      <c r="G62" s="24">
        <v>8.0</v>
      </c>
      <c r="H62" s="25">
        <f t="shared" si="1"/>
        <v>17</v>
      </c>
      <c r="I62" s="26">
        <f t="shared" si="2"/>
        <v>0.8673469388</v>
      </c>
      <c r="J62" s="27">
        <f t="shared" si="3"/>
        <v>0.08163265306</v>
      </c>
    </row>
    <row r="63" ht="15.75" customHeight="1">
      <c r="A63" s="18" t="s">
        <v>31</v>
      </c>
      <c r="B63" s="19" t="s">
        <v>9</v>
      </c>
      <c r="C63" s="20">
        <v>132.0</v>
      </c>
      <c r="D63" s="20">
        <v>460.0</v>
      </c>
      <c r="E63" s="20">
        <v>1.0</v>
      </c>
      <c r="F63" s="20">
        <v>108.0</v>
      </c>
      <c r="G63" s="20">
        <v>13.0</v>
      </c>
      <c r="H63" s="20">
        <f t="shared" si="1"/>
        <v>17</v>
      </c>
      <c r="I63" s="21">
        <f t="shared" si="2"/>
        <v>0.8181818182</v>
      </c>
      <c r="J63" s="21">
        <f t="shared" si="3"/>
        <v>0.09848484848</v>
      </c>
    </row>
    <row r="64" ht="15.75" customHeight="1">
      <c r="A64" s="22" t="s">
        <v>31</v>
      </c>
      <c r="B64" s="23" t="s">
        <v>10</v>
      </c>
      <c r="C64" s="24">
        <v>340.0</v>
      </c>
      <c r="D64" s="24">
        <v>500.0</v>
      </c>
      <c r="E64" s="24">
        <v>4.0</v>
      </c>
      <c r="F64" s="24">
        <v>222.0</v>
      </c>
      <c r="G64" s="24">
        <v>64.0</v>
      </c>
      <c r="H64" s="25">
        <f t="shared" si="1"/>
        <v>17</v>
      </c>
      <c r="I64" s="26">
        <f t="shared" si="2"/>
        <v>0.6529411765</v>
      </c>
      <c r="J64" s="27">
        <f t="shared" si="3"/>
        <v>0.1882352941</v>
      </c>
    </row>
    <row r="65" ht="15.75" customHeight="1">
      <c r="A65" s="18" t="s">
        <v>31</v>
      </c>
      <c r="B65" s="19" t="s">
        <v>11</v>
      </c>
      <c r="C65" s="20">
        <v>90.0</v>
      </c>
      <c r="D65" s="20">
        <v>430.0</v>
      </c>
      <c r="E65" s="20">
        <v>0.0</v>
      </c>
      <c r="F65" s="20">
        <v>78.0</v>
      </c>
      <c r="G65" s="20">
        <v>9.0</v>
      </c>
      <c r="H65" s="20">
        <f t="shared" si="1"/>
        <v>17</v>
      </c>
      <c r="I65" s="21">
        <f t="shared" si="2"/>
        <v>0.8666666667</v>
      </c>
      <c r="J65" s="21">
        <f t="shared" si="3"/>
        <v>0.1</v>
      </c>
    </row>
    <row r="66" ht="15.75" customHeight="1">
      <c r="A66" s="22" t="s">
        <v>32</v>
      </c>
      <c r="B66" s="23" t="s">
        <v>9</v>
      </c>
      <c r="C66" s="24">
        <v>138.0</v>
      </c>
      <c r="D66" s="24">
        <v>470.0</v>
      </c>
      <c r="E66" s="24">
        <v>2.0</v>
      </c>
      <c r="F66" s="24">
        <v>112.0</v>
      </c>
      <c r="G66" s="24">
        <v>15.0</v>
      </c>
      <c r="H66" s="25">
        <f t="shared" si="1"/>
        <v>17</v>
      </c>
      <c r="I66" s="26">
        <f t="shared" si="2"/>
        <v>0.8115942029</v>
      </c>
      <c r="J66" s="27">
        <f t="shared" si="3"/>
        <v>0.1086956522</v>
      </c>
    </row>
    <row r="67" ht="15.75" customHeight="1">
      <c r="A67" s="18" t="s">
        <v>32</v>
      </c>
      <c r="B67" s="19" t="s">
        <v>10</v>
      </c>
      <c r="C67" s="20">
        <v>355.0</v>
      </c>
      <c r="D67" s="20">
        <v>520.0</v>
      </c>
      <c r="E67" s="20">
        <v>5.0</v>
      </c>
      <c r="F67" s="20">
        <v>231.0</v>
      </c>
      <c r="G67" s="20">
        <v>71.0</v>
      </c>
      <c r="H67" s="20">
        <f t="shared" si="1"/>
        <v>17</v>
      </c>
      <c r="I67" s="21">
        <f t="shared" si="2"/>
        <v>0.6507042254</v>
      </c>
      <c r="J67" s="21">
        <f t="shared" si="3"/>
        <v>0.2</v>
      </c>
    </row>
    <row r="68" ht="15.75" customHeight="1">
      <c r="A68" s="22" t="s">
        <v>32</v>
      </c>
      <c r="B68" s="23" t="s">
        <v>11</v>
      </c>
      <c r="C68" s="24">
        <v>96.0</v>
      </c>
      <c r="D68" s="24">
        <v>450.0</v>
      </c>
      <c r="E68" s="24">
        <v>1.0</v>
      </c>
      <c r="F68" s="24">
        <v>82.0</v>
      </c>
      <c r="G68" s="24">
        <v>10.0</v>
      </c>
      <c r="H68" s="25">
        <f t="shared" si="1"/>
        <v>17</v>
      </c>
      <c r="I68" s="26">
        <f t="shared" si="2"/>
        <v>0.8541666667</v>
      </c>
      <c r="J68" s="27">
        <f t="shared" si="3"/>
        <v>0.1041666667</v>
      </c>
    </row>
    <row r="69" ht="15.75" customHeight="1">
      <c r="A69" s="18" t="s">
        <v>33</v>
      </c>
      <c r="B69" s="19" t="s">
        <v>9</v>
      </c>
      <c r="C69" s="20">
        <v>145.0</v>
      </c>
      <c r="D69" s="20">
        <v>450.0</v>
      </c>
      <c r="E69" s="20">
        <v>0.0</v>
      </c>
      <c r="F69" s="20">
        <v>120.0</v>
      </c>
      <c r="G69" s="20">
        <v>15.0</v>
      </c>
      <c r="H69" s="20">
        <f t="shared" si="1"/>
        <v>17</v>
      </c>
      <c r="I69" s="21">
        <f t="shared" si="2"/>
        <v>0.8275862069</v>
      </c>
      <c r="J69" s="21">
        <f t="shared" si="3"/>
        <v>0.1034482759</v>
      </c>
    </row>
    <row r="70" ht="15.75" customHeight="1">
      <c r="A70" s="22" t="s">
        <v>33</v>
      </c>
      <c r="B70" s="23" t="s">
        <v>10</v>
      </c>
      <c r="C70" s="24">
        <v>370.0</v>
      </c>
      <c r="D70" s="24">
        <v>490.0</v>
      </c>
      <c r="E70" s="24">
        <v>3.0</v>
      </c>
      <c r="F70" s="24">
        <v>246.0</v>
      </c>
      <c r="G70" s="24">
        <v>70.0</v>
      </c>
      <c r="H70" s="25">
        <f t="shared" si="1"/>
        <v>17</v>
      </c>
      <c r="I70" s="26">
        <f t="shared" si="2"/>
        <v>0.6648648649</v>
      </c>
      <c r="J70" s="27">
        <f t="shared" si="3"/>
        <v>0.1891891892</v>
      </c>
    </row>
    <row r="71" ht="15.75" customHeight="1">
      <c r="A71" s="18" t="s">
        <v>33</v>
      </c>
      <c r="B71" s="19" t="s">
        <v>11</v>
      </c>
      <c r="C71" s="20">
        <v>102.0</v>
      </c>
      <c r="D71" s="20">
        <v>420.0</v>
      </c>
      <c r="E71" s="20">
        <v>0.0</v>
      </c>
      <c r="F71" s="20">
        <v>89.0</v>
      </c>
      <c r="G71" s="20">
        <v>9.0</v>
      </c>
      <c r="H71" s="20">
        <f t="shared" si="1"/>
        <v>17</v>
      </c>
      <c r="I71" s="21">
        <f t="shared" si="2"/>
        <v>0.8725490196</v>
      </c>
      <c r="J71" s="21">
        <f t="shared" si="3"/>
        <v>0.08823529412</v>
      </c>
    </row>
    <row r="72" ht="15.75" customHeight="1">
      <c r="A72" s="22" t="s">
        <v>34</v>
      </c>
      <c r="B72" s="23" t="s">
        <v>9</v>
      </c>
      <c r="C72" s="24">
        <v>150.0</v>
      </c>
      <c r="D72" s="24">
        <v>480.0</v>
      </c>
      <c r="E72" s="24">
        <v>1.0</v>
      </c>
      <c r="F72" s="24">
        <v>123.0</v>
      </c>
      <c r="G72" s="24">
        <v>17.0</v>
      </c>
      <c r="H72" s="25">
        <f t="shared" si="1"/>
        <v>17</v>
      </c>
      <c r="I72" s="26">
        <f t="shared" si="2"/>
        <v>0.82</v>
      </c>
      <c r="J72" s="27">
        <f t="shared" si="3"/>
        <v>0.1133333333</v>
      </c>
    </row>
    <row r="73" ht="15.75" customHeight="1">
      <c r="A73" s="18" t="s">
        <v>34</v>
      </c>
      <c r="B73" s="19" t="s">
        <v>10</v>
      </c>
      <c r="C73" s="20">
        <v>390.0</v>
      </c>
      <c r="D73" s="20">
        <v>530.0</v>
      </c>
      <c r="E73" s="20">
        <v>6.0</v>
      </c>
      <c r="F73" s="20">
        <v>254.0</v>
      </c>
      <c r="G73" s="20">
        <v>78.0</v>
      </c>
      <c r="H73" s="20">
        <f t="shared" si="1"/>
        <v>17</v>
      </c>
      <c r="I73" s="21">
        <f t="shared" si="2"/>
        <v>0.6512820513</v>
      </c>
      <c r="J73" s="21">
        <f t="shared" si="3"/>
        <v>0.2</v>
      </c>
    </row>
    <row r="74" ht="15.75" customHeight="1">
      <c r="A74" s="22" t="s">
        <v>34</v>
      </c>
      <c r="B74" s="23" t="s">
        <v>11</v>
      </c>
      <c r="C74" s="24">
        <v>108.0</v>
      </c>
      <c r="D74" s="24">
        <v>440.0</v>
      </c>
      <c r="E74" s="24">
        <v>1.0</v>
      </c>
      <c r="F74" s="24">
        <v>93.0</v>
      </c>
      <c r="G74" s="24">
        <v>11.0</v>
      </c>
      <c r="H74" s="25">
        <f t="shared" si="1"/>
        <v>17</v>
      </c>
      <c r="I74" s="26">
        <f t="shared" si="2"/>
        <v>0.8611111111</v>
      </c>
      <c r="J74" s="27">
        <f t="shared" si="3"/>
        <v>0.1018518519</v>
      </c>
    </row>
    <row r="75" ht="15.75" customHeight="1">
      <c r="A75" s="18" t="s">
        <v>35</v>
      </c>
      <c r="B75" s="19" t="s">
        <v>9</v>
      </c>
      <c r="C75" s="20">
        <v>155.0</v>
      </c>
      <c r="D75" s="20">
        <v>490.0</v>
      </c>
      <c r="E75" s="20">
        <v>2.0</v>
      </c>
      <c r="F75" s="20">
        <v>126.0</v>
      </c>
      <c r="G75" s="20">
        <v>19.0</v>
      </c>
      <c r="H75" s="20">
        <f t="shared" si="1"/>
        <v>17</v>
      </c>
      <c r="I75" s="21">
        <f t="shared" si="2"/>
        <v>0.8129032258</v>
      </c>
      <c r="J75" s="21">
        <f t="shared" si="3"/>
        <v>0.1225806452</v>
      </c>
    </row>
    <row r="76" ht="15.75" customHeight="1">
      <c r="A76" s="22" t="s">
        <v>35</v>
      </c>
      <c r="B76" s="23" t="s">
        <v>10</v>
      </c>
      <c r="C76" s="24">
        <v>410.0</v>
      </c>
      <c r="D76" s="24">
        <v>550.0</v>
      </c>
      <c r="E76" s="24">
        <v>7.0</v>
      </c>
      <c r="F76" s="24">
        <v>266.0</v>
      </c>
      <c r="G76" s="24">
        <v>85.0</v>
      </c>
      <c r="H76" s="25">
        <f t="shared" si="1"/>
        <v>17</v>
      </c>
      <c r="I76" s="26">
        <f t="shared" si="2"/>
        <v>0.6487804878</v>
      </c>
      <c r="J76" s="27">
        <f t="shared" si="3"/>
        <v>0.2073170732</v>
      </c>
    </row>
    <row r="77" ht="15.75" customHeight="1">
      <c r="A77" s="18" t="s">
        <v>35</v>
      </c>
      <c r="B77" s="19" t="s">
        <v>11</v>
      </c>
      <c r="C77" s="20">
        <v>112.0</v>
      </c>
      <c r="D77" s="20">
        <v>460.0</v>
      </c>
      <c r="E77" s="20">
        <v>2.0</v>
      </c>
      <c r="F77" s="20">
        <v>95.0</v>
      </c>
      <c r="G77" s="20">
        <v>12.0</v>
      </c>
      <c r="H77" s="20">
        <f t="shared" si="1"/>
        <v>17</v>
      </c>
      <c r="I77" s="21">
        <f t="shared" si="2"/>
        <v>0.8482142857</v>
      </c>
      <c r="J77" s="21">
        <f t="shared" si="3"/>
        <v>0.1071428571</v>
      </c>
    </row>
    <row r="78" ht="15.75" customHeight="1">
      <c r="A78" s="22" t="s">
        <v>36</v>
      </c>
      <c r="B78" s="23" t="s">
        <v>9</v>
      </c>
      <c r="C78" s="24">
        <v>142.0</v>
      </c>
      <c r="D78" s="24">
        <v>460.0</v>
      </c>
      <c r="E78" s="24">
        <v>1.0</v>
      </c>
      <c r="F78" s="24">
        <v>116.0</v>
      </c>
      <c r="G78" s="24">
        <v>15.0</v>
      </c>
      <c r="H78" s="25">
        <f t="shared" si="1"/>
        <v>17</v>
      </c>
      <c r="I78" s="26">
        <f t="shared" si="2"/>
        <v>0.8169014085</v>
      </c>
      <c r="J78" s="27">
        <f t="shared" si="3"/>
        <v>0.1056338028</v>
      </c>
    </row>
    <row r="79" ht="15.75" customHeight="1">
      <c r="A79" s="18" t="s">
        <v>36</v>
      </c>
      <c r="B79" s="19" t="s">
        <v>10</v>
      </c>
      <c r="C79" s="20">
        <v>360.0</v>
      </c>
      <c r="D79" s="20">
        <v>510.0</v>
      </c>
      <c r="E79" s="20">
        <v>4.0</v>
      </c>
      <c r="F79" s="20">
        <v>238.0</v>
      </c>
      <c r="G79" s="20">
        <v>72.0</v>
      </c>
      <c r="H79" s="20">
        <f t="shared" si="1"/>
        <v>17</v>
      </c>
      <c r="I79" s="21">
        <f t="shared" si="2"/>
        <v>0.6611111111</v>
      </c>
      <c r="J79" s="21">
        <f t="shared" si="3"/>
        <v>0.2</v>
      </c>
    </row>
    <row r="80" ht="15.75" customHeight="1">
      <c r="A80" s="22" t="s">
        <v>36</v>
      </c>
      <c r="B80" s="23" t="s">
        <v>11</v>
      </c>
      <c r="C80" s="24">
        <v>95.0</v>
      </c>
      <c r="D80" s="24">
        <v>430.0</v>
      </c>
      <c r="E80" s="24">
        <v>0.0</v>
      </c>
      <c r="F80" s="24">
        <v>81.0</v>
      </c>
      <c r="G80" s="24">
        <v>10.0</v>
      </c>
      <c r="H80" s="25">
        <f t="shared" si="1"/>
        <v>17</v>
      </c>
      <c r="I80" s="26">
        <f t="shared" si="2"/>
        <v>0.8526315789</v>
      </c>
      <c r="J80" s="27">
        <f t="shared" si="3"/>
        <v>0.1052631579</v>
      </c>
    </row>
    <row r="81" ht="15.75" customHeight="1">
      <c r="A81" s="18" t="s">
        <v>37</v>
      </c>
      <c r="B81" s="19" t="s">
        <v>9</v>
      </c>
      <c r="C81" s="20">
        <v>136.0</v>
      </c>
      <c r="D81" s="20">
        <v>440.0</v>
      </c>
      <c r="E81" s="20">
        <v>0.0</v>
      </c>
      <c r="F81" s="20">
        <v>112.0</v>
      </c>
      <c r="G81" s="20">
        <v>14.0</v>
      </c>
      <c r="H81" s="20">
        <f t="shared" si="1"/>
        <v>18</v>
      </c>
      <c r="I81" s="21">
        <f t="shared" si="2"/>
        <v>0.8235294118</v>
      </c>
      <c r="J81" s="21">
        <f t="shared" si="3"/>
        <v>0.1029411765</v>
      </c>
    </row>
    <row r="82" ht="15.75" customHeight="1">
      <c r="A82" s="22" t="s">
        <v>37</v>
      </c>
      <c r="B82" s="23" t="s">
        <v>10</v>
      </c>
      <c r="C82" s="24">
        <v>345.0</v>
      </c>
      <c r="D82" s="24">
        <v>480.0</v>
      </c>
      <c r="E82" s="24">
        <v>3.0</v>
      </c>
      <c r="F82" s="24">
        <v>229.0</v>
      </c>
      <c r="G82" s="24">
        <v>65.0</v>
      </c>
      <c r="H82" s="25">
        <f t="shared" si="1"/>
        <v>18</v>
      </c>
      <c r="I82" s="26">
        <f t="shared" si="2"/>
        <v>0.6637681159</v>
      </c>
      <c r="J82" s="27">
        <f t="shared" si="3"/>
        <v>0.1884057971</v>
      </c>
    </row>
    <row r="83" ht="15.75" customHeight="1">
      <c r="A83" s="18" t="s">
        <v>37</v>
      </c>
      <c r="B83" s="19" t="s">
        <v>11</v>
      </c>
      <c r="C83" s="20">
        <v>91.0</v>
      </c>
      <c r="D83" s="20">
        <v>420.0</v>
      </c>
      <c r="E83" s="20">
        <v>1.0</v>
      </c>
      <c r="F83" s="20">
        <v>78.0</v>
      </c>
      <c r="G83" s="20">
        <v>9.0</v>
      </c>
      <c r="H83" s="20">
        <f t="shared" si="1"/>
        <v>18</v>
      </c>
      <c r="I83" s="21">
        <f t="shared" si="2"/>
        <v>0.8571428571</v>
      </c>
      <c r="J83" s="21">
        <f t="shared" si="3"/>
        <v>0.0989010989</v>
      </c>
    </row>
    <row r="84" ht="15.75" customHeight="1">
      <c r="A84" s="22" t="s">
        <v>38</v>
      </c>
      <c r="B84" s="23" t="s">
        <v>9</v>
      </c>
      <c r="C84" s="24">
        <v>144.0</v>
      </c>
      <c r="D84" s="24">
        <v>450.0</v>
      </c>
      <c r="E84" s="24">
        <v>1.0</v>
      </c>
      <c r="F84" s="24">
        <v>119.0</v>
      </c>
      <c r="G84" s="24">
        <v>15.0</v>
      </c>
      <c r="H84" s="25">
        <f t="shared" si="1"/>
        <v>18</v>
      </c>
      <c r="I84" s="26">
        <f t="shared" si="2"/>
        <v>0.8263888889</v>
      </c>
      <c r="J84" s="27">
        <f t="shared" si="3"/>
        <v>0.1041666667</v>
      </c>
    </row>
    <row r="85" ht="15.75" customHeight="1">
      <c r="A85" s="18" t="s">
        <v>38</v>
      </c>
      <c r="B85" s="19" t="s">
        <v>10</v>
      </c>
      <c r="C85" s="20">
        <v>368.0</v>
      </c>
      <c r="D85" s="20">
        <v>490.0</v>
      </c>
      <c r="E85" s="20">
        <v>4.0</v>
      </c>
      <c r="F85" s="20">
        <v>244.0</v>
      </c>
      <c r="G85" s="20">
        <v>70.0</v>
      </c>
      <c r="H85" s="20">
        <f t="shared" si="1"/>
        <v>18</v>
      </c>
      <c r="I85" s="21">
        <f t="shared" si="2"/>
        <v>0.6630434783</v>
      </c>
      <c r="J85" s="21">
        <f t="shared" si="3"/>
        <v>0.1902173913</v>
      </c>
    </row>
    <row r="86" ht="15.75" customHeight="1">
      <c r="A86" s="22" t="s">
        <v>38</v>
      </c>
      <c r="B86" s="23" t="s">
        <v>11</v>
      </c>
      <c r="C86" s="24">
        <v>99.0</v>
      </c>
      <c r="D86" s="24">
        <v>430.0</v>
      </c>
      <c r="E86" s="24">
        <v>0.0</v>
      </c>
      <c r="F86" s="24">
        <v>86.0</v>
      </c>
      <c r="G86" s="24">
        <v>10.0</v>
      </c>
      <c r="H86" s="25">
        <f t="shared" si="1"/>
        <v>18</v>
      </c>
      <c r="I86" s="26">
        <f t="shared" si="2"/>
        <v>0.8686868687</v>
      </c>
      <c r="J86" s="27">
        <f t="shared" si="3"/>
        <v>0.101010101</v>
      </c>
    </row>
    <row r="87" ht="15.75" customHeight="1">
      <c r="A87" s="18" t="s">
        <v>39</v>
      </c>
      <c r="B87" s="19" t="s">
        <v>9</v>
      </c>
      <c r="C87" s="20">
        <v>152.0</v>
      </c>
      <c r="D87" s="20">
        <v>470.0</v>
      </c>
      <c r="E87" s="20">
        <v>2.0</v>
      </c>
      <c r="F87" s="20">
        <v>124.0</v>
      </c>
      <c r="G87" s="20">
        <v>18.0</v>
      </c>
      <c r="H87" s="20">
        <f t="shared" si="1"/>
        <v>18</v>
      </c>
      <c r="I87" s="21">
        <f t="shared" si="2"/>
        <v>0.8157894737</v>
      </c>
      <c r="J87" s="21">
        <f t="shared" si="3"/>
        <v>0.1184210526</v>
      </c>
    </row>
    <row r="88" ht="15.75" customHeight="1">
      <c r="A88" s="22" t="s">
        <v>39</v>
      </c>
      <c r="B88" s="23" t="s">
        <v>10</v>
      </c>
      <c r="C88" s="24">
        <v>385.0</v>
      </c>
      <c r="D88" s="24">
        <v>520.0</v>
      </c>
      <c r="E88" s="24">
        <v>5.0</v>
      </c>
      <c r="F88" s="24">
        <v>253.0</v>
      </c>
      <c r="G88" s="24">
        <v>77.0</v>
      </c>
      <c r="H88" s="25">
        <f t="shared" si="1"/>
        <v>18</v>
      </c>
      <c r="I88" s="26">
        <f t="shared" si="2"/>
        <v>0.6571428571</v>
      </c>
      <c r="J88" s="27">
        <f t="shared" si="3"/>
        <v>0.2</v>
      </c>
    </row>
    <row r="89" ht="15.75" customHeight="1">
      <c r="A89" s="18" t="s">
        <v>39</v>
      </c>
      <c r="B89" s="19" t="s">
        <v>11</v>
      </c>
      <c r="C89" s="20">
        <v>104.0</v>
      </c>
      <c r="D89" s="20">
        <v>440.0</v>
      </c>
      <c r="E89" s="20">
        <v>1.0</v>
      </c>
      <c r="F89" s="20">
        <v>90.0</v>
      </c>
      <c r="G89" s="20">
        <v>11.0</v>
      </c>
      <c r="H89" s="20">
        <f t="shared" si="1"/>
        <v>18</v>
      </c>
      <c r="I89" s="21">
        <f t="shared" si="2"/>
        <v>0.8653846154</v>
      </c>
      <c r="J89" s="21">
        <f t="shared" si="3"/>
        <v>0.1057692308</v>
      </c>
    </row>
    <row r="90" ht="15.75" customHeight="1">
      <c r="A90" s="22" t="s">
        <v>40</v>
      </c>
      <c r="B90" s="23" t="s">
        <v>9</v>
      </c>
      <c r="C90" s="24">
        <v>160.0</v>
      </c>
      <c r="D90" s="24">
        <v>490.0</v>
      </c>
      <c r="E90" s="24">
        <v>1.0</v>
      </c>
      <c r="F90" s="24">
        <v>131.0</v>
      </c>
      <c r="G90" s="24">
        <v>19.0</v>
      </c>
      <c r="H90" s="25">
        <f t="shared" si="1"/>
        <v>18</v>
      </c>
      <c r="I90" s="26">
        <f t="shared" si="2"/>
        <v>0.81875</v>
      </c>
      <c r="J90" s="27">
        <f t="shared" si="3"/>
        <v>0.11875</v>
      </c>
    </row>
    <row r="91" ht="15.75" customHeight="1">
      <c r="A91" s="18" t="s">
        <v>40</v>
      </c>
      <c r="B91" s="19" t="s">
        <v>10</v>
      </c>
      <c r="C91" s="20">
        <v>420.0</v>
      </c>
      <c r="D91" s="20">
        <v>540.0</v>
      </c>
      <c r="E91" s="20">
        <v>6.0</v>
      </c>
      <c r="F91" s="20">
        <v>275.0</v>
      </c>
      <c r="G91" s="20">
        <v>84.0</v>
      </c>
      <c r="H91" s="20">
        <f t="shared" si="1"/>
        <v>18</v>
      </c>
      <c r="I91" s="21">
        <f t="shared" si="2"/>
        <v>0.6547619048</v>
      </c>
      <c r="J91" s="21">
        <f t="shared" si="3"/>
        <v>0.2</v>
      </c>
    </row>
    <row r="92" ht="15.75" customHeight="1">
      <c r="A92" s="22" t="s">
        <v>40</v>
      </c>
      <c r="B92" s="23" t="s">
        <v>11</v>
      </c>
      <c r="C92" s="24">
        <v>115.0</v>
      </c>
      <c r="D92" s="24">
        <v>460.0</v>
      </c>
      <c r="E92" s="24">
        <v>1.0</v>
      </c>
      <c r="F92" s="24">
        <v>100.0</v>
      </c>
      <c r="G92" s="24">
        <v>11.0</v>
      </c>
      <c r="H92" s="25">
        <f t="shared" si="1"/>
        <v>18</v>
      </c>
      <c r="I92" s="26">
        <f t="shared" si="2"/>
        <v>0.8695652174</v>
      </c>
      <c r="J92" s="27">
        <f t="shared" si="3"/>
        <v>0.09565217391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2.0"/>
    <col customWidth="1" min="2" max="2" width="8.0"/>
    <col customWidth="1" min="3" max="3" width="14.0"/>
    <col customWidth="1" min="4" max="4" width="16.0"/>
    <col customWidth="1" min="5" max="6" width="22.0"/>
    <col customWidth="1" min="7" max="26" width="8.71"/>
  </cols>
  <sheetData>
    <row r="1" ht="30.0" customHeight="1">
      <c r="A1" s="28" t="s">
        <v>45</v>
      </c>
      <c r="B1" s="12"/>
      <c r="C1" s="12"/>
      <c r="D1" s="12"/>
      <c r="E1" s="12"/>
      <c r="F1" s="13"/>
    </row>
    <row r="2" ht="15.75" customHeight="1">
      <c r="A2" s="29" t="s">
        <v>46</v>
      </c>
    </row>
    <row r="3" ht="30.0" customHeight="1">
      <c r="A3" s="30" t="s">
        <v>47</v>
      </c>
      <c r="B3" s="30" t="s">
        <v>42</v>
      </c>
      <c r="C3" s="30" t="s">
        <v>48</v>
      </c>
      <c r="D3" s="30" t="s">
        <v>49</v>
      </c>
      <c r="E3" s="30" t="s">
        <v>50</v>
      </c>
      <c r="F3" s="30" t="s">
        <v>51</v>
      </c>
    </row>
    <row r="4">
      <c r="A4" s="31" t="s">
        <v>9</v>
      </c>
      <c r="B4" s="32">
        <v>14.0</v>
      </c>
      <c r="C4" s="32">
        <f>COUNTIFS(Cleaned_Data!$B$3:$B$92,"Organic",Cleaned_Data!$H$3:$H$92,14)</f>
        <v>5</v>
      </c>
      <c r="D4" s="33">
        <f>AVERAGEIFS(Cleaned_Data!$I$3:$I$92,Cleaned_Data!$B$3:$B$92,"Organic",Cleaned_Data!$H$3:$H$92,14)</f>
        <v>0.8049333333</v>
      </c>
      <c r="E4" s="34">
        <f>AVERAGEIFS(Cleaned_Data!$J$3:$J$92,Cleaned_Data!$B$3:$B$92,"Organic",Cleaned_Data!$H$3:$H$92,14)</f>
        <v>0.1141397038</v>
      </c>
      <c r="F4" s="35">
        <f>AVERAGEIFS(Cleaned_Data!$D$3:$D$92,Cleaned_Data!$B$3:$B$92,"Organic",Cleaned_Data!$H$3:$H$92,14)</f>
        <v>476</v>
      </c>
    </row>
    <row r="5">
      <c r="A5" s="31" t="s">
        <v>9</v>
      </c>
      <c r="B5" s="32">
        <v>15.0</v>
      </c>
      <c r="C5" s="32">
        <f>COUNTIFS(Cleaned_Data!$B$3:$B$92,"Organic",Cleaned_Data!$H$3:$H$92,15)</f>
        <v>7</v>
      </c>
      <c r="D5" s="33">
        <f>AVERAGEIFS(Cleaned_Data!$I$3:$I$92,Cleaned_Data!$B$3:$B$92,"Organic",Cleaned_Data!$H$3:$H$92,15)</f>
        <v>0.7789080258</v>
      </c>
      <c r="E5" s="34">
        <f>AVERAGEIFS(Cleaned_Data!$J$3:$J$92,Cleaned_Data!$B$3:$B$92,"Organic",Cleaned_Data!$H$3:$H$92,15)</f>
        <v>0.1129157003</v>
      </c>
      <c r="F5" s="35">
        <f>AVERAGEIFS(Cleaned_Data!$D$3:$D$92,Cleaned_Data!$B$3:$B$92,"Organic",Cleaned_Data!$H$3:$H$92,15)</f>
        <v>768.5714286</v>
      </c>
    </row>
    <row r="6">
      <c r="A6" s="31" t="s">
        <v>9</v>
      </c>
      <c r="B6" s="32">
        <v>16.0</v>
      </c>
      <c r="C6" s="32">
        <f>COUNTIFS(Cleaned_Data!$B$3:$B$92,"Organic",Cleaned_Data!$H$3:$H$92,16)</f>
        <v>7</v>
      </c>
      <c r="D6" s="33">
        <f>AVERAGEIFS(Cleaned_Data!$I$3:$I$92,Cleaned_Data!$B$3:$B$92,"Organic",Cleaned_Data!$H$3:$H$92,16)</f>
        <v>0.6525726009</v>
      </c>
      <c r="E6" s="34">
        <f>AVERAGEIFS(Cleaned_Data!$J$3:$J$92,Cleaned_Data!$B$3:$B$92,"Organic",Cleaned_Data!$H$3:$H$92,16)</f>
        <v>0.09618263681</v>
      </c>
      <c r="F6" s="35">
        <f>AVERAGEIFS(Cleaned_Data!$D$3:$D$92,Cleaned_Data!$B$3:$B$92,"Organic",Cleaned_Data!$H$3:$H$92,16)</f>
        <v>2877.142857</v>
      </c>
    </row>
    <row r="7">
      <c r="A7" s="31" t="s">
        <v>9</v>
      </c>
      <c r="B7" s="32">
        <v>17.0</v>
      </c>
      <c r="C7" s="32">
        <f>COUNTIFS(Cleaned_Data!$B$3:$B$92,"Organic",Cleaned_Data!$H$3:$H$92,17)</f>
        <v>7</v>
      </c>
      <c r="D7" s="33">
        <f>AVERAGEIFS(Cleaned_Data!$I$3:$I$92,Cleaned_Data!$B$3:$B$92,"Organic",Cleaned_Data!$H$3:$H$92,17)</f>
        <v>0.8193911844</v>
      </c>
      <c r="E7" s="34">
        <f>AVERAGEIFS(Cleaned_Data!$J$3:$J$92,Cleaned_Data!$B$3:$B$92,"Organic",Cleaned_Data!$H$3:$H$92,17)</f>
        <v>0.107453794</v>
      </c>
      <c r="F7" s="35">
        <f>AVERAGEIFS(Cleaned_Data!$D$3:$D$92,Cleaned_Data!$B$3:$B$92,"Organic",Cleaned_Data!$H$3:$H$92,17)</f>
        <v>464.2857143</v>
      </c>
    </row>
    <row r="8">
      <c r="A8" s="31" t="s">
        <v>9</v>
      </c>
      <c r="B8" s="32">
        <v>18.0</v>
      </c>
      <c r="C8" s="32">
        <f>COUNTIFS(Cleaned_Data!$B$3:$B$92,"Organic",Cleaned_Data!$H$3:$H$92,18)</f>
        <v>4</v>
      </c>
      <c r="D8" s="33">
        <f>AVERAGEIFS(Cleaned_Data!$I$3:$I$92,Cleaned_Data!$B$3:$B$92,"Organic",Cleaned_Data!$H$3:$H$92,18)</f>
        <v>0.8211144436</v>
      </c>
      <c r="E8" s="34">
        <f>AVERAGEIFS(Cleaned_Data!$J$3:$J$92,Cleaned_Data!$B$3:$B$92,"Organic",Cleaned_Data!$H$3:$H$92,18)</f>
        <v>0.1110697239</v>
      </c>
      <c r="F8" s="35">
        <f>AVERAGEIFS(Cleaned_Data!$D$3:$D$92,Cleaned_Data!$B$3:$B$92,"Organic",Cleaned_Data!$H$3:$H$92,18)</f>
        <v>462.5</v>
      </c>
    </row>
    <row r="9">
      <c r="A9" s="36" t="s">
        <v>10</v>
      </c>
      <c r="B9" s="37">
        <v>14.0</v>
      </c>
      <c r="C9" s="37">
        <f>COUNTIFS(Cleaned_Data!$B$3:$B$92,"Paid Ads",Cleaned_Data!$H$3:$H$92,14)</f>
        <v>5</v>
      </c>
      <c r="D9" s="38">
        <f>AVERAGEIFS(Cleaned_Data!$I$3:$I$92,Cleaned_Data!$B$3:$B$92,"Paid Ads",Cleaned_Data!$H$3:$H$92,14)</f>
        <v>0.6541677104</v>
      </c>
      <c r="E9" s="39">
        <f>AVERAGEIFS(Cleaned_Data!$J$3:$J$92,Cleaned_Data!$B$3:$B$92,"Paid Ads",Cleaned_Data!$H$3:$H$92,14)</f>
        <v>0.1925778093</v>
      </c>
      <c r="F9" s="40">
        <f>AVERAGEIFS(Cleaned_Data!$D$3:$D$92,Cleaned_Data!$B$3:$B$92,"Paid Ads",Cleaned_Data!$H$3:$H$92,14)</f>
        <v>502</v>
      </c>
    </row>
    <row r="10">
      <c r="A10" s="36" t="s">
        <v>10</v>
      </c>
      <c r="B10" s="37">
        <v>15.0</v>
      </c>
      <c r="C10" s="37">
        <f>COUNTIFS(Cleaned_Data!$B$3:$B$92,"Paid Ads",Cleaned_Data!$H$3:$H$92,15)</f>
        <v>7</v>
      </c>
      <c r="D10" s="38">
        <f>AVERAGEIFS(Cleaned_Data!$I$3:$I$92,Cleaned_Data!$B$3:$B$92,"Paid Ads",Cleaned_Data!$H$3:$H$92,15)</f>
        <v>0.6198235864</v>
      </c>
      <c r="E10" s="39">
        <f>AVERAGEIFS(Cleaned_Data!$J$3:$J$92,Cleaned_Data!$B$3:$B$92,"Paid Ads",Cleaned_Data!$H$3:$H$92,15)</f>
        <v>0.1882691636</v>
      </c>
      <c r="F10" s="40">
        <f>AVERAGEIFS(Cleaned_Data!$D$3:$D$92,Cleaned_Data!$B$3:$B$92,"Paid Ads",Cleaned_Data!$H$3:$H$92,15)</f>
        <v>887.1428571</v>
      </c>
    </row>
    <row r="11">
      <c r="A11" s="36" t="s">
        <v>10</v>
      </c>
      <c r="B11" s="37">
        <v>16.0</v>
      </c>
      <c r="C11" s="37">
        <f>COUNTIFS(Cleaned_Data!$B$3:$B$92,"Paid Ads",Cleaned_Data!$H$3:$H$92,16)</f>
        <v>7</v>
      </c>
      <c r="D11" s="38">
        <f>AVERAGEIFS(Cleaned_Data!$I$3:$I$92,Cleaned_Data!$B$3:$B$92,"Paid Ads",Cleaned_Data!$H$3:$H$92,16)</f>
        <v>0.547530815</v>
      </c>
      <c r="E11" s="39">
        <f>AVERAGEIFS(Cleaned_Data!$J$3:$J$92,Cleaned_Data!$B$3:$B$92,"Paid Ads",Cleaned_Data!$H$3:$H$92,16)</f>
        <v>0.1594564713</v>
      </c>
      <c r="F11" s="40">
        <f>AVERAGEIFS(Cleaned_Data!$D$3:$D$92,Cleaned_Data!$B$3:$B$92,"Paid Ads",Cleaned_Data!$H$3:$H$92,16)</f>
        <v>3214.285714</v>
      </c>
    </row>
    <row r="12">
      <c r="A12" s="36" t="s">
        <v>10</v>
      </c>
      <c r="B12" s="37">
        <v>17.0</v>
      </c>
      <c r="C12" s="37">
        <f>COUNTIFS(Cleaned_Data!$B$3:$B$92,"Paid Ads",Cleaned_Data!$H$3:$H$92,17)</f>
        <v>7</v>
      </c>
      <c r="D12" s="38">
        <f>AVERAGEIFS(Cleaned_Data!$I$3:$I$92,Cleaned_Data!$B$3:$B$92,"Paid Ads",Cleaned_Data!$H$3:$H$92,17)</f>
        <v>0.6560996594</v>
      </c>
      <c r="E12" s="39">
        <f>AVERAGEIFS(Cleaned_Data!$J$3:$J$92,Cleaned_Data!$B$3:$B$92,"Paid Ads",Cleaned_Data!$H$3:$H$92,17)</f>
        <v>0.1962546646</v>
      </c>
      <c r="F12" s="40">
        <f>AVERAGEIFS(Cleaned_Data!$D$3:$D$92,Cleaned_Data!$B$3:$B$92,"Paid Ads",Cleaned_Data!$H$3:$H$92,17)</f>
        <v>510</v>
      </c>
    </row>
    <row r="13">
      <c r="A13" s="36" t="s">
        <v>10</v>
      </c>
      <c r="B13" s="37">
        <v>18.0</v>
      </c>
      <c r="C13" s="37">
        <f>COUNTIFS(Cleaned_Data!$B$3:$B$92,"Paid Ads",Cleaned_Data!$H$3:$H$92,18)</f>
        <v>4</v>
      </c>
      <c r="D13" s="38">
        <f>AVERAGEIFS(Cleaned_Data!$I$3:$I$92,Cleaned_Data!$B$3:$B$92,"Paid Ads",Cleaned_Data!$H$3:$H$92,18)</f>
        <v>0.659679089</v>
      </c>
      <c r="E13" s="39">
        <f>AVERAGEIFS(Cleaned_Data!$J$3:$J$92,Cleaned_Data!$B$3:$B$92,"Paid Ads",Cleaned_Data!$H$3:$H$92,18)</f>
        <v>0.1946557971</v>
      </c>
      <c r="F13" s="40">
        <f>AVERAGEIFS(Cleaned_Data!$D$3:$D$92,Cleaned_Data!$B$3:$B$92,"Paid Ads",Cleaned_Data!$H$3:$H$92,18)</f>
        <v>507.5</v>
      </c>
    </row>
    <row r="14">
      <c r="A14" s="41" t="s">
        <v>11</v>
      </c>
      <c r="B14" s="42">
        <v>14.0</v>
      </c>
      <c r="C14" s="42">
        <f>COUNTIFS(Cleaned_Data!$B$3:$B$92,"Referral",Cleaned_Data!$H$3:$H$92,14)</f>
        <v>5</v>
      </c>
      <c r="D14" s="43">
        <f>AVERAGEIFS(Cleaned_Data!$I$3:$I$92,Cleaned_Data!$B$3:$B$92,"Referral",Cleaned_Data!$H$3:$H$92,14)</f>
        <v>0.849453232</v>
      </c>
      <c r="E14" s="44">
        <f>AVERAGEIFS(Cleaned_Data!$J$3:$J$92,Cleaned_Data!$B$3:$B$92,"Referral",Cleaned_Data!$H$3:$H$92,14)</f>
        <v>0.09155877662</v>
      </c>
      <c r="F14" s="45">
        <f>AVERAGEIFS(Cleaned_Data!$D$3:$D$92,Cleaned_Data!$B$3:$B$92,"Referral",Cleaned_Data!$H$3:$H$92,14)</f>
        <v>432</v>
      </c>
    </row>
    <row r="15">
      <c r="A15" s="41" t="s">
        <v>11</v>
      </c>
      <c r="B15" s="42">
        <v>15.0</v>
      </c>
      <c r="C15" s="42">
        <f>COUNTIFS(Cleaned_Data!$B$3:$B$92,"Referral",Cleaned_Data!$H$3:$H$92,15)</f>
        <v>7</v>
      </c>
      <c r="D15" s="43">
        <f>AVERAGEIFS(Cleaned_Data!$I$3:$I$92,Cleaned_Data!$B$3:$B$92,"Referral",Cleaned_Data!$H$3:$H$92,15)</f>
        <v>0.8178582704</v>
      </c>
      <c r="E15" s="44">
        <f>AVERAGEIFS(Cleaned_Data!$J$3:$J$92,Cleaned_Data!$B$3:$B$92,"Referral",Cleaned_Data!$H$3:$H$92,15)</f>
        <v>0.09144771039</v>
      </c>
      <c r="F15" s="45">
        <f>AVERAGEIFS(Cleaned_Data!$D$3:$D$92,Cleaned_Data!$B$3:$B$92,"Referral",Cleaned_Data!$H$3:$H$92,15)</f>
        <v>685.7142857</v>
      </c>
    </row>
    <row r="16">
      <c r="A16" s="41" t="s">
        <v>11</v>
      </c>
      <c r="B16" s="42">
        <v>16.0</v>
      </c>
      <c r="C16" s="42">
        <f>COUNTIFS(Cleaned_Data!$B$3:$B$92,"Referral",Cleaned_Data!$H$3:$H$92,16)</f>
        <v>7</v>
      </c>
      <c r="D16" s="43">
        <f>AVERAGEIFS(Cleaned_Data!$I$3:$I$92,Cleaned_Data!$B$3:$B$92,"Referral",Cleaned_Data!$H$3:$H$92,16)</f>
        <v>0.6673442696</v>
      </c>
      <c r="E16" s="44">
        <f>AVERAGEIFS(Cleaned_Data!$J$3:$J$92,Cleaned_Data!$B$3:$B$92,"Referral",Cleaned_Data!$H$3:$H$92,16)</f>
        <v>0.0839499022</v>
      </c>
      <c r="F16" s="45">
        <f>AVERAGEIFS(Cleaned_Data!$D$3:$D$92,Cleaned_Data!$B$3:$B$92,"Referral",Cleaned_Data!$H$3:$H$92,16)</f>
        <v>2614.285714</v>
      </c>
    </row>
    <row r="17">
      <c r="A17" s="41" t="s">
        <v>11</v>
      </c>
      <c r="B17" s="42">
        <v>17.0</v>
      </c>
      <c r="C17" s="42">
        <f>COUNTIFS(Cleaned_Data!$B$3:$B$92,"Referral",Cleaned_Data!$H$3:$H$92,17)</f>
        <v>7</v>
      </c>
      <c r="D17" s="43">
        <f>AVERAGEIFS(Cleaned_Data!$I$3:$I$92,Cleaned_Data!$B$3:$B$92,"Referral",Cleaned_Data!$H$3:$H$92,17)</f>
        <v>0.8603837525</v>
      </c>
      <c r="E17" s="44">
        <f>AVERAGEIFS(Cleaned_Data!$J$3:$J$92,Cleaned_Data!$B$3:$B$92,"Referral",Cleaned_Data!$H$3:$H$92,17)</f>
        <v>0.09832749725</v>
      </c>
      <c r="F17" s="45">
        <f>AVERAGEIFS(Cleaned_Data!$D$3:$D$92,Cleaned_Data!$B$3:$B$92,"Referral",Cleaned_Data!$H$3:$H$92,17)</f>
        <v>434.2857143</v>
      </c>
    </row>
    <row r="18">
      <c r="A18" s="41" t="s">
        <v>11</v>
      </c>
      <c r="B18" s="42">
        <v>18.0</v>
      </c>
      <c r="C18" s="42">
        <f>COUNTIFS(Cleaned_Data!$B$3:$B$92,"Referral",Cleaned_Data!$H$3:$H$92,18)</f>
        <v>4</v>
      </c>
      <c r="D18" s="43">
        <f>AVERAGEIFS(Cleaned_Data!$I$3:$I$92,Cleaned_Data!$B$3:$B$92,"Referral",Cleaned_Data!$H$3:$H$92,18)</f>
        <v>0.8651948897</v>
      </c>
      <c r="E18" s="44">
        <f>AVERAGEIFS(Cleaned_Data!$J$3:$J$92,Cleaned_Data!$B$3:$B$92,"Referral",Cleaned_Data!$H$3:$H$92,18)</f>
        <v>0.1003331511</v>
      </c>
      <c r="F18" s="45">
        <f>AVERAGEIFS(Cleaned_Data!$D$3:$D$92,Cleaned_Data!$B$3:$B$92,"Referral",Cleaned_Data!$H$3:$H$92,18)</f>
        <v>437.5</v>
      </c>
    </row>
    <row r="19">
      <c r="A19" s="46" t="s">
        <v>52</v>
      </c>
      <c r="B19" s="47" t="s">
        <v>53</v>
      </c>
      <c r="C19" s="48">
        <f>SUM(C4:C8)</f>
        <v>30</v>
      </c>
      <c r="D19" s="49">
        <f t="shared" ref="D19:F19" si="1">AVERAGE(D4:D8)</f>
        <v>0.7753839176</v>
      </c>
      <c r="E19" s="49">
        <f t="shared" si="1"/>
        <v>0.1083523118</v>
      </c>
      <c r="F19" s="50">
        <f t="shared" si="1"/>
        <v>1009.7</v>
      </c>
    </row>
    <row r="20">
      <c r="A20" s="46" t="s">
        <v>54</v>
      </c>
      <c r="B20" s="47" t="s">
        <v>53</v>
      </c>
      <c r="C20" s="48">
        <f>SUM(C9:C13)</f>
        <v>30</v>
      </c>
      <c r="D20" s="49">
        <f t="shared" ref="D20:F20" si="2">AVERAGE(D9:D13)</f>
        <v>0.627460172</v>
      </c>
      <c r="E20" s="49">
        <f t="shared" si="2"/>
        <v>0.1862427812</v>
      </c>
      <c r="F20" s="50">
        <f t="shared" si="2"/>
        <v>1124.185714</v>
      </c>
    </row>
    <row r="21" ht="15.75" customHeight="1">
      <c r="A21" s="46" t="s">
        <v>55</v>
      </c>
      <c r="B21" s="47" t="s">
        <v>53</v>
      </c>
      <c r="C21" s="48">
        <f>SUM(C14:C18)</f>
        <v>30</v>
      </c>
      <c r="D21" s="49">
        <f t="shared" ref="D21:F21" si="3">AVERAGE(D14:D18)</f>
        <v>0.8120468828</v>
      </c>
      <c r="E21" s="49">
        <f t="shared" si="3"/>
        <v>0.09312340752</v>
      </c>
      <c r="F21" s="50">
        <f t="shared" si="3"/>
        <v>920.7571429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A1:F21">
    <cfRule type="colorScale" priority="1">
      <colorScale>
        <cfvo type="min"/>
        <cfvo type="max"/>
        <color rgb="FF57BB8A"/>
        <color rgb="FFFFFFFF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8.0"/>
    <col customWidth="1" min="2" max="8" width="12.0"/>
    <col customWidth="1" min="9" max="9" width="14.0"/>
    <col customWidth="1" min="10" max="26" width="8.71"/>
  </cols>
  <sheetData>
    <row r="1" ht="31.5" customHeight="1">
      <c r="A1" s="51" t="s">
        <v>56</v>
      </c>
      <c r="B1" s="12"/>
      <c r="C1" s="12"/>
      <c r="D1" s="12"/>
      <c r="E1" s="12"/>
      <c r="F1" s="12"/>
      <c r="G1" s="12"/>
      <c r="H1" s="12"/>
      <c r="I1" s="13"/>
    </row>
    <row r="2" ht="15.75" customHeight="1">
      <c r="A2" s="29" t="s">
        <v>57</v>
      </c>
    </row>
    <row r="3" ht="21.75" customHeight="1">
      <c r="A3" s="52" t="s">
        <v>58</v>
      </c>
      <c r="B3" s="53" t="s">
        <v>59</v>
      </c>
      <c r="C3" s="53" t="s">
        <v>60</v>
      </c>
      <c r="D3" s="53" t="s">
        <v>61</v>
      </c>
      <c r="E3" s="53" t="s">
        <v>62</v>
      </c>
      <c r="F3" s="53" t="s">
        <v>63</v>
      </c>
      <c r="G3" s="52" t="s">
        <v>64</v>
      </c>
    </row>
    <row r="4" ht="21.75" customHeight="1">
      <c r="A4" s="54" t="s">
        <v>9</v>
      </c>
      <c r="B4" s="55">
        <f>AVERAGEIFS(Cleaned_Data!$I$3:$I$92,Cleaned_Data!$B$3:$B$92,"Organic",Cleaned_Data!$H$3:$H$92,14)</f>
        <v>0.8049333333</v>
      </c>
      <c r="C4" s="55">
        <f>AVERAGEIFS(Cleaned_Data!$I$3:$I$92,Cleaned_Data!$B$3:$B$92,"Organic",Cleaned_Data!$H$3:$H$92,15)</f>
        <v>0.7789080258</v>
      </c>
      <c r="D4" s="55">
        <f>AVERAGEIFS(Cleaned_Data!$I$3:$I$92,Cleaned_Data!$B$3:$B$92,"Organic",Cleaned_Data!$H$3:$H$92,16)</f>
        <v>0.6525726009</v>
      </c>
      <c r="E4" s="55">
        <f>AVERAGEIFS(Cleaned_Data!$I$3:$I$92,Cleaned_Data!$B$3:$B$92,"Organic",Cleaned_Data!$H$3:$H$92,17)</f>
        <v>0.8193911844</v>
      </c>
      <c r="F4" s="55">
        <f>AVERAGEIFS(Cleaned_Data!$I$3:$I$92,Cleaned_Data!$B$3:$B$92,"Organic",Cleaned_Data!$H$3:$H$92,18)</f>
        <v>0.8211144436</v>
      </c>
      <c r="G4" s="56">
        <f t="shared" ref="G4:G10" si="1">AVERAGE(B4:F4)</f>
        <v>0.7753839176</v>
      </c>
    </row>
    <row r="5" ht="21.75" customHeight="1">
      <c r="A5" s="57"/>
      <c r="B5" s="58">
        <f>AVERAGEIFS(Cleaned_Data!$J$3:$J$92,Cleaned_Data!$B$3:$B$92,"Organic",Cleaned_Data!$H$3:$H$92,14)</f>
        <v>0.1141397038</v>
      </c>
      <c r="C5" s="58">
        <f>AVERAGEIFS(Cleaned_Data!$J$3:$J$92,Cleaned_Data!$B$3:$B$92,"Organic",Cleaned_Data!$H$3:$H$92,15)</f>
        <v>0.1129157003</v>
      </c>
      <c r="D5" s="58">
        <f>AVERAGEIFS(Cleaned_Data!$J$3:$J$92,Cleaned_Data!$B$3:$B$92,"Organic",Cleaned_Data!$H$3:$H$92,16)</f>
        <v>0.09618263681</v>
      </c>
      <c r="E5" s="58">
        <f>AVERAGEIFS(Cleaned_Data!$J$3:$J$92,Cleaned_Data!$B$3:$B$92,"Organic",Cleaned_Data!$H$3:$H$92,17)</f>
        <v>0.107453794</v>
      </c>
      <c r="F5" s="58">
        <f>AVERAGEIFS(Cleaned_Data!$J$3:$J$92,Cleaned_Data!$B$3:$B$92,"Organic",Cleaned_Data!$H$3:$H$92,18)</f>
        <v>0.1110697239</v>
      </c>
      <c r="G5" s="56">
        <f t="shared" si="1"/>
        <v>0.1083523118</v>
      </c>
    </row>
    <row r="6" ht="21.75" customHeight="1">
      <c r="A6" s="59" t="s">
        <v>10</v>
      </c>
      <c r="B6" s="60">
        <f>AVERAGEIFS(Cleaned_Data!$I$3:$I$92,Cleaned_Data!$B$3:$B$92,"Paid Ads",Cleaned_Data!$H$3:$H$92,14)</f>
        <v>0.6541677104</v>
      </c>
      <c r="C6" s="60">
        <f>AVERAGEIFS(Cleaned_Data!$I$3:$I$92,Cleaned_Data!$B$3:$B$92,"Paid Ads",Cleaned_Data!$H$3:$H$92,15)</f>
        <v>0.6198235864</v>
      </c>
      <c r="D6" s="60">
        <f>AVERAGEIFS(Cleaned_Data!$I$3:$I$92,Cleaned_Data!$B$3:$B$92,"Paid Ads",Cleaned_Data!$H$3:$H$92,16)</f>
        <v>0.547530815</v>
      </c>
      <c r="E6" s="60">
        <f>AVERAGEIFS(Cleaned_Data!$I$3:$I$92,Cleaned_Data!$B$3:$B$92,"Paid Ads",Cleaned_Data!$H$3:$H$92,17)</f>
        <v>0.6560996594</v>
      </c>
      <c r="F6" s="60">
        <f>AVERAGEIFS(Cleaned_Data!$I$3:$I$92,Cleaned_Data!$B$3:$B$92,"Paid Ads",Cleaned_Data!$H$3:$H$92,18)</f>
        <v>0.659679089</v>
      </c>
      <c r="G6" s="61">
        <f t="shared" si="1"/>
        <v>0.627460172</v>
      </c>
    </row>
    <row r="7" ht="21.75" customHeight="1">
      <c r="A7" s="57"/>
      <c r="B7" s="62">
        <f>AVERAGEIFS(Cleaned_Data!$J$3:$J$92,Cleaned_Data!$B$3:$B$92,"Paid Ads",Cleaned_Data!$H$3:$H$92,14)</f>
        <v>0.1925778093</v>
      </c>
      <c r="C7" s="62">
        <f>AVERAGEIFS(Cleaned_Data!$J$3:$J$92,Cleaned_Data!$B$3:$B$92,"Paid Ads",Cleaned_Data!$H$3:$H$92,15)</f>
        <v>0.1882691636</v>
      </c>
      <c r="D7" s="62">
        <f>AVERAGEIFS(Cleaned_Data!$J$3:$J$92,Cleaned_Data!$B$3:$B$92,"Paid Ads",Cleaned_Data!$H$3:$H$92,16)</f>
        <v>0.1594564713</v>
      </c>
      <c r="E7" s="62">
        <f>AVERAGEIFS(Cleaned_Data!$J$3:$J$92,Cleaned_Data!$B$3:$B$92,"Paid Ads",Cleaned_Data!$H$3:$H$92,17)</f>
        <v>0.1962546646</v>
      </c>
      <c r="F7" s="62">
        <f>AVERAGEIFS(Cleaned_Data!$J$3:$J$92,Cleaned_Data!$B$3:$B$92,"Paid Ads",Cleaned_Data!$H$3:$H$92,18)</f>
        <v>0.1946557971</v>
      </c>
      <c r="G7" s="61">
        <f t="shared" si="1"/>
        <v>0.1862427812</v>
      </c>
    </row>
    <row r="8" ht="21.75" customHeight="1">
      <c r="A8" s="63" t="s">
        <v>11</v>
      </c>
      <c r="B8" s="64">
        <f>AVERAGEIFS(Cleaned_Data!$I$3:$I$92,Cleaned_Data!$B$3:$B$92,"Referral",Cleaned_Data!$H$3:$H$92,14)</f>
        <v>0.849453232</v>
      </c>
      <c r="C8" s="64">
        <f>AVERAGEIFS(Cleaned_Data!$I$3:$I$92,Cleaned_Data!$B$3:$B$92,"Referral",Cleaned_Data!$H$3:$H$92,15)</f>
        <v>0.8178582704</v>
      </c>
      <c r="D8" s="64">
        <f>AVERAGEIFS(Cleaned_Data!$I$3:$I$92,Cleaned_Data!$B$3:$B$92,"Referral",Cleaned_Data!$H$3:$H$92,16)</f>
        <v>0.6673442696</v>
      </c>
      <c r="E8" s="64">
        <f>AVERAGEIFS(Cleaned_Data!$I$3:$I$92,Cleaned_Data!$B$3:$B$92,"Referral",Cleaned_Data!$H$3:$H$92,17)</f>
        <v>0.8603837525</v>
      </c>
      <c r="F8" s="64">
        <f>AVERAGEIFS(Cleaned_Data!$I$3:$I$92,Cleaned_Data!$B$3:$B$92,"Referral",Cleaned_Data!$H$3:$H$92,18)</f>
        <v>0.8651948897</v>
      </c>
      <c r="G8" s="65">
        <f t="shared" si="1"/>
        <v>0.8120468828</v>
      </c>
    </row>
    <row r="9" ht="21.75" customHeight="1">
      <c r="A9" s="57"/>
      <c r="B9" s="66">
        <f>AVERAGEIFS(Cleaned_Data!$J$3:$J$92,Cleaned_Data!$B$3:$B$92,"Referral",Cleaned_Data!$H$3:$H$92,14)</f>
        <v>0.09155877662</v>
      </c>
      <c r="C9" s="66">
        <f>AVERAGEIFS(Cleaned_Data!$J$3:$J$92,Cleaned_Data!$B$3:$B$92,"Referral",Cleaned_Data!$H$3:$H$92,15)</f>
        <v>0.09144771039</v>
      </c>
      <c r="D9" s="66">
        <f>AVERAGEIFS(Cleaned_Data!$J$3:$J$92,Cleaned_Data!$B$3:$B$92,"Referral",Cleaned_Data!$H$3:$H$92,16)</f>
        <v>0.0839499022</v>
      </c>
      <c r="E9" s="66">
        <f>AVERAGEIFS(Cleaned_Data!$J$3:$J$92,Cleaned_Data!$B$3:$B$92,"Referral",Cleaned_Data!$H$3:$H$92,17)</f>
        <v>0.09832749725</v>
      </c>
      <c r="F9" s="66">
        <f>AVERAGEIFS(Cleaned_Data!$J$3:$J$92,Cleaned_Data!$B$3:$B$92,"Referral",Cleaned_Data!$H$3:$H$92,18)</f>
        <v>0.1003331511</v>
      </c>
      <c r="G9" s="65">
        <f t="shared" si="1"/>
        <v>0.09312340752</v>
      </c>
    </row>
    <row r="10" ht="24.0" customHeight="1">
      <c r="A10" s="52" t="s">
        <v>65</v>
      </c>
      <c r="B10" s="67">
        <f>AVERAGEIFS(Cleaned_Data!$I$3:$I$92,Cleaned_Data!$H$3:$H$92,14)</f>
        <v>0.7695180919</v>
      </c>
      <c r="C10" s="67">
        <f>AVERAGEIFS(Cleaned_Data!$I$3:$I$92,Cleaned_Data!$H$3:$H$92,15)</f>
        <v>0.7388632942</v>
      </c>
      <c r="D10" s="67">
        <f>AVERAGEIFS(Cleaned_Data!$I$3:$I$92,Cleaned_Data!$H$3:$H$92,16)</f>
        <v>0.6224825619</v>
      </c>
      <c r="E10" s="67">
        <f>AVERAGEIFS(Cleaned_Data!$I$3:$I$92,Cleaned_Data!$H$3:$H$92,17)</f>
        <v>0.7786248654</v>
      </c>
      <c r="F10" s="67">
        <f>AVERAGEIFS(Cleaned_Data!$I$3:$I$92,Cleaned_Data!$H$3:$H$92,18)</f>
        <v>0.7819961408</v>
      </c>
      <c r="G10" s="67">
        <f t="shared" si="1"/>
        <v>0.7382969908</v>
      </c>
    </row>
    <row r="12" ht="30.0" customHeight="1">
      <c r="A12" s="68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I1"/>
    <mergeCell ref="A2:I2"/>
    <mergeCell ref="A4:A5"/>
    <mergeCell ref="A6:A7"/>
    <mergeCell ref="A8:A9"/>
    <mergeCell ref="A12:I1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3" width="20.0"/>
    <col customWidth="1" min="4" max="4" width="3.0"/>
    <col customWidth="1" min="5" max="13" width="14.0"/>
    <col customWidth="1" min="14" max="14" width="5.0"/>
    <col customWidth="1" min="15" max="26" width="8.71"/>
  </cols>
  <sheetData>
    <row r="1" ht="36.0" customHeight="1">
      <c r="A1" s="69" t="s">
        <v>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ht="18.0" customHeight="1">
      <c r="A2" s="70" t="s">
        <v>68</v>
      </c>
    </row>
    <row r="4" ht="21.75" customHeight="1">
      <c r="B4" s="71" t="s">
        <v>69</v>
      </c>
      <c r="D4" s="72" t="s">
        <v>70</v>
      </c>
      <c r="F4" s="73" t="s">
        <v>71</v>
      </c>
      <c r="H4" s="74" t="s">
        <v>51</v>
      </c>
      <c r="J4" s="75" t="s">
        <v>72</v>
      </c>
      <c r="L4" s="76" t="s">
        <v>73</v>
      </c>
    </row>
    <row r="5" ht="31.5" customHeight="1">
      <c r="B5" s="77">
        <f>SUM(Cleaned_Data!C3:C92)</f>
        <v>16761</v>
      </c>
      <c r="D5" s="78">
        <f>SUM(Cleaned_Data!F3:F92)</f>
        <v>11716</v>
      </c>
      <c r="F5" s="79">
        <f>SUM(Cleaned_Data!F3:F92)/SUM(Cleaned_Data!C3:C92)</f>
        <v>0.6990036394</v>
      </c>
      <c r="H5" s="80">
        <f>AVERAGE(Cleaned_Data!D3:D92)</f>
        <v>1109.666667</v>
      </c>
      <c r="J5" s="81">
        <f>SUM(Cleaned_Data!E3:E92)</f>
        <v>868</v>
      </c>
      <c r="L5" s="82">
        <f>SUM(Cleaned_Data!G3:G92)/SUM(Cleaned_Data!C3:C92)</f>
        <v>0.1542270748</v>
      </c>
    </row>
    <row r="6" ht="9.75" customHeight="1"/>
    <row r="8">
      <c r="A8" s="83" t="s">
        <v>74</v>
      </c>
    </row>
    <row r="9">
      <c r="A9" s="71" t="s">
        <v>1</v>
      </c>
      <c r="B9" s="71" t="s">
        <v>3</v>
      </c>
      <c r="C9" s="71" t="s">
        <v>4</v>
      </c>
    </row>
    <row r="10">
      <c r="A10" s="84" t="s">
        <v>8</v>
      </c>
      <c r="B10" s="85">
        <f>SUMIF(Cleaned_Data!$A$3:$A$92,A10,Cleaned_Data!$C$3:$C$92)</f>
        <v>545</v>
      </c>
      <c r="C10" s="85">
        <f>AVERAGEIF(Cleaned_Data!$A$3:$A$92,A10,Cleaned_Data!$D$3:$D$92)</f>
        <v>450</v>
      </c>
    </row>
    <row r="11">
      <c r="A11" s="86" t="s">
        <v>12</v>
      </c>
      <c r="B11" s="87">
        <f>SUMIF(Cleaned_Data!$A$3:$A$92,A11,Cleaned_Data!$C$3:$C$92)</f>
        <v>515</v>
      </c>
      <c r="C11" s="87">
        <f>AVERAGEIF(Cleaned_Data!$A$3:$A$92,A11,Cleaned_Data!$D$3:$D$92)</f>
        <v>470</v>
      </c>
    </row>
    <row r="12">
      <c r="A12" s="84" t="s">
        <v>13</v>
      </c>
      <c r="B12" s="85">
        <f>SUMIF(Cleaned_Data!$A$3:$A$92,A12,Cleaned_Data!$C$3:$C$92)</f>
        <v>550</v>
      </c>
      <c r="C12" s="85">
        <f>AVERAGEIF(Cleaned_Data!$A$3:$A$92,A12,Cleaned_Data!$D$3:$D$92)</f>
        <v>466.6666667</v>
      </c>
    </row>
    <row r="13">
      <c r="A13" s="86" t="s">
        <v>14</v>
      </c>
      <c r="B13" s="87">
        <f>SUMIF(Cleaned_Data!$A$3:$A$92,A13,Cleaned_Data!$C$3:$C$92)</f>
        <v>600</v>
      </c>
      <c r="C13" s="87">
        <f>AVERAGEIF(Cleaned_Data!$A$3:$A$92,A13,Cleaned_Data!$D$3:$D$92)</f>
        <v>510</v>
      </c>
    </row>
    <row r="14">
      <c r="A14" s="84" t="s">
        <v>15</v>
      </c>
      <c r="B14" s="85">
        <f>SUMIF(Cleaned_Data!$A$3:$A$92,A14,Cleaned_Data!$C$3:$C$92)</f>
        <v>528</v>
      </c>
      <c r="C14" s="85">
        <f>AVERAGEIF(Cleaned_Data!$A$3:$A$92,A14,Cleaned_Data!$D$3:$D$92)</f>
        <v>453.3333333</v>
      </c>
    </row>
    <row r="15">
      <c r="A15" s="86" t="s">
        <v>16</v>
      </c>
      <c r="B15" s="87">
        <f>SUMIF(Cleaned_Data!$A$3:$A$92,A15,Cleaned_Data!$C$3:$C$92)</f>
        <v>500</v>
      </c>
      <c r="C15" s="87">
        <f>AVERAGEIF(Cleaned_Data!$A$3:$A$92,A15,Cleaned_Data!$D$3:$D$92)</f>
        <v>443.3333333</v>
      </c>
    </row>
    <row r="16">
      <c r="A16" s="84" t="s">
        <v>17</v>
      </c>
      <c r="B16" s="85">
        <f>SUMIF(Cleaned_Data!$A$3:$A$92,A16,Cleaned_Data!$C$3:$C$92)</f>
        <v>514</v>
      </c>
      <c r="C16" s="85">
        <f>AVERAGEIF(Cleaned_Data!$A$3:$A$92,A16,Cleaned_Data!$D$3:$D$92)</f>
        <v>446.6666667</v>
      </c>
    </row>
    <row r="17">
      <c r="A17" s="86" t="s">
        <v>18</v>
      </c>
      <c r="B17" s="87">
        <f>SUMIF(Cleaned_Data!$A$3:$A$92,A17,Cleaned_Data!$C$3:$C$92)</f>
        <v>581</v>
      </c>
      <c r="C17" s="87">
        <f>AVERAGEIF(Cleaned_Data!$A$3:$A$92,A17,Cleaned_Data!$D$3:$D$92)</f>
        <v>470</v>
      </c>
    </row>
    <row r="18">
      <c r="A18" s="84" t="s">
        <v>19</v>
      </c>
      <c r="B18" s="85">
        <f>SUMIF(Cleaned_Data!$A$3:$A$92,A18,Cleaned_Data!$C$3:$C$92)</f>
        <v>549</v>
      </c>
      <c r="C18" s="85">
        <f>AVERAGEIF(Cleaned_Data!$A$3:$A$92,A18,Cleaned_Data!$D$3:$D$92)</f>
        <v>490</v>
      </c>
    </row>
    <row r="19">
      <c r="A19" s="86" t="s">
        <v>20</v>
      </c>
      <c r="B19" s="87">
        <f>SUMIF(Cleaned_Data!$A$3:$A$92,A19,Cleaned_Data!$C$3:$C$92)</f>
        <v>627</v>
      </c>
      <c r="C19" s="87">
        <f>AVERAGEIF(Cleaned_Data!$A$3:$A$92,A19,Cleaned_Data!$D$3:$D$92)</f>
        <v>513.3333333</v>
      </c>
    </row>
    <row r="20">
      <c r="A20" s="84" t="s">
        <v>21</v>
      </c>
      <c r="B20" s="85">
        <f>SUMIF(Cleaned_Data!$A$3:$A$92,A20,Cleaned_Data!$C$3:$C$92)</f>
        <v>655</v>
      </c>
      <c r="C20" s="85">
        <f>AVERAGEIF(Cleaned_Data!$A$3:$A$92,A20,Cleaned_Data!$D$3:$D$92)</f>
        <v>533.3333333</v>
      </c>
    </row>
    <row r="21" ht="15.75" customHeight="1">
      <c r="A21" s="86" t="s">
        <v>22</v>
      </c>
      <c r="B21" s="87">
        <f>SUMIF(Cleaned_Data!$A$3:$A$92,A21,Cleaned_Data!$C$3:$C$92)</f>
        <v>465</v>
      </c>
      <c r="C21" s="87">
        <f>AVERAGEIF(Cleaned_Data!$A$3:$A$92,A21,Cleaned_Data!$D$3:$D$92)</f>
        <v>2566.666667</v>
      </c>
    </row>
    <row r="22" ht="15.75" customHeight="1">
      <c r="A22" s="84" t="s">
        <v>23</v>
      </c>
      <c r="B22" s="85">
        <f>SUMIF(Cleaned_Data!$A$3:$A$92,A22,Cleaned_Data!$C$3:$C$92)</f>
        <v>365</v>
      </c>
      <c r="C22" s="85">
        <f>AVERAGEIF(Cleaned_Data!$A$3:$A$92,A22,Cleaned_Data!$D$3:$D$92)</f>
        <v>5700</v>
      </c>
    </row>
    <row r="23" ht="15.75" customHeight="1">
      <c r="A23" s="86" t="s">
        <v>24</v>
      </c>
      <c r="B23" s="87">
        <f>SUMIF(Cleaned_Data!$A$3:$A$92,A23,Cleaned_Data!$C$3:$C$92)</f>
        <v>320</v>
      </c>
      <c r="C23" s="87">
        <f>AVERAGEIF(Cleaned_Data!$A$3:$A$92,A23,Cleaned_Data!$D$3:$D$92)</f>
        <v>8300</v>
      </c>
    </row>
    <row r="24" ht="15.75" customHeight="1">
      <c r="A24" s="84" t="s">
        <v>25</v>
      </c>
      <c r="B24" s="85">
        <f>SUMIF(Cleaned_Data!$A$3:$A$92,A24,Cleaned_Data!$C$3:$C$92)</f>
        <v>412</v>
      </c>
      <c r="C24" s="85">
        <f>AVERAGEIF(Cleaned_Data!$A$3:$A$92,A24,Cleaned_Data!$D$3:$D$92)</f>
        <v>4266.666667</v>
      </c>
    </row>
    <row r="25" ht="15.75" customHeight="1">
      <c r="A25" s="86" t="s">
        <v>26</v>
      </c>
      <c r="B25" s="87">
        <f>SUMIF(Cleaned_Data!$A$3:$A$92,A25,Cleaned_Data!$C$3:$C$92)</f>
        <v>530</v>
      </c>
      <c r="C25" s="87">
        <f>AVERAGEIF(Cleaned_Data!$A$3:$A$92,A25,Cleaned_Data!$D$3:$D$92)</f>
        <v>660</v>
      </c>
    </row>
    <row r="26" ht="15.75" customHeight="1">
      <c r="A26" s="84" t="s">
        <v>27</v>
      </c>
      <c r="B26" s="85">
        <f>SUMIF(Cleaned_Data!$A$3:$A$92,A26,Cleaned_Data!$C$3:$C$92)</f>
        <v>567</v>
      </c>
      <c r="C26" s="85">
        <f>AVERAGEIF(Cleaned_Data!$A$3:$A$92,A26,Cleaned_Data!$D$3:$D$92)</f>
        <v>476.6666667</v>
      </c>
    </row>
    <row r="27" ht="15.75" customHeight="1">
      <c r="A27" s="86" t="s">
        <v>28</v>
      </c>
      <c r="B27" s="87">
        <f>SUMIF(Cleaned_Data!$A$3:$A$92,A27,Cleaned_Data!$C$3:$C$92)</f>
        <v>547</v>
      </c>
      <c r="C27" s="87">
        <f>AVERAGEIF(Cleaned_Data!$A$3:$A$92,A27,Cleaned_Data!$D$3:$D$92)</f>
        <v>456.6666667</v>
      </c>
    </row>
    <row r="28" ht="15.75" customHeight="1">
      <c r="A28" s="84" t="s">
        <v>29</v>
      </c>
      <c r="B28" s="85">
        <f>SUMIF(Cleaned_Data!$A$3:$A$92,A28,Cleaned_Data!$C$3:$C$92)</f>
        <v>579</v>
      </c>
      <c r="C28" s="85">
        <f>AVERAGEIF(Cleaned_Data!$A$3:$A$92,A28,Cleaned_Data!$D$3:$D$92)</f>
        <v>453.3333333</v>
      </c>
    </row>
    <row r="29" ht="15.75" customHeight="1">
      <c r="A29" s="86" t="s">
        <v>30</v>
      </c>
      <c r="B29" s="87">
        <f>SUMIF(Cleaned_Data!$A$3:$A$92,A29,Cleaned_Data!$C$3:$C$92)</f>
        <v>603</v>
      </c>
      <c r="C29" s="87">
        <f>AVERAGEIF(Cleaned_Data!$A$3:$A$92,A29,Cleaned_Data!$D$3:$D$92)</f>
        <v>440</v>
      </c>
    </row>
    <row r="30" ht="15.75" customHeight="1">
      <c r="A30" s="84" t="s">
        <v>31</v>
      </c>
      <c r="B30" s="85">
        <f>SUMIF(Cleaned_Data!$A$3:$A$92,A30,Cleaned_Data!$C$3:$C$92)</f>
        <v>562</v>
      </c>
      <c r="C30" s="85">
        <f>AVERAGEIF(Cleaned_Data!$A$3:$A$92,A30,Cleaned_Data!$D$3:$D$92)</f>
        <v>463.3333333</v>
      </c>
    </row>
    <row r="31" ht="15.75" customHeight="1">
      <c r="A31" s="86" t="s">
        <v>32</v>
      </c>
      <c r="B31" s="87">
        <f>SUMIF(Cleaned_Data!$A$3:$A$92,A31,Cleaned_Data!$C$3:$C$92)</f>
        <v>589</v>
      </c>
      <c r="C31" s="87">
        <f>AVERAGEIF(Cleaned_Data!$A$3:$A$92,A31,Cleaned_Data!$D$3:$D$92)</f>
        <v>480</v>
      </c>
    </row>
    <row r="32" ht="15.75" customHeight="1">
      <c r="A32" s="84" t="s">
        <v>33</v>
      </c>
      <c r="B32" s="85">
        <f>SUMIF(Cleaned_Data!$A$3:$A$92,A32,Cleaned_Data!$C$3:$C$92)</f>
        <v>617</v>
      </c>
      <c r="C32" s="85">
        <f>AVERAGEIF(Cleaned_Data!$A$3:$A$92,A32,Cleaned_Data!$D$3:$D$92)</f>
        <v>453.3333333</v>
      </c>
    </row>
    <row r="33" ht="15.75" customHeight="1">
      <c r="A33" s="86" t="s">
        <v>34</v>
      </c>
      <c r="B33" s="87">
        <f>SUMIF(Cleaned_Data!$A$3:$A$92,A33,Cleaned_Data!$C$3:$C$92)</f>
        <v>648</v>
      </c>
      <c r="C33" s="87">
        <f>AVERAGEIF(Cleaned_Data!$A$3:$A$92,A33,Cleaned_Data!$D$3:$D$92)</f>
        <v>483.3333333</v>
      </c>
    </row>
    <row r="34" ht="15.75" customHeight="1">
      <c r="A34" s="84" t="s">
        <v>35</v>
      </c>
      <c r="B34" s="85">
        <f>SUMIF(Cleaned_Data!$A$3:$A$92,A34,Cleaned_Data!$C$3:$C$92)</f>
        <v>677</v>
      </c>
      <c r="C34" s="85">
        <f>AVERAGEIF(Cleaned_Data!$A$3:$A$92,A34,Cleaned_Data!$D$3:$D$92)</f>
        <v>500</v>
      </c>
    </row>
    <row r="35" ht="15.75" customHeight="1">
      <c r="A35" s="86" t="s">
        <v>36</v>
      </c>
      <c r="B35" s="87">
        <f>SUMIF(Cleaned_Data!$A$3:$A$92,A35,Cleaned_Data!$C$3:$C$92)</f>
        <v>597</v>
      </c>
      <c r="C35" s="87">
        <f>AVERAGEIF(Cleaned_Data!$A$3:$A$92,A35,Cleaned_Data!$D$3:$D$92)</f>
        <v>466.6666667</v>
      </c>
    </row>
    <row r="36" ht="15.75" customHeight="1">
      <c r="A36" s="84" t="s">
        <v>37</v>
      </c>
      <c r="B36" s="85">
        <f>SUMIF(Cleaned_Data!$A$3:$A$92,A36,Cleaned_Data!$C$3:$C$92)</f>
        <v>572</v>
      </c>
      <c r="C36" s="85">
        <f>AVERAGEIF(Cleaned_Data!$A$3:$A$92,A36,Cleaned_Data!$D$3:$D$92)</f>
        <v>446.6666667</v>
      </c>
    </row>
    <row r="37" ht="15.75" customHeight="1">
      <c r="A37" s="86" t="s">
        <v>38</v>
      </c>
      <c r="B37" s="87">
        <f>SUMIF(Cleaned_Data!$A$3:$A$92,A37,Cleaned_Data!$C$3:$C$92)</f>
        <v>611</v>
      </c>
      <c r="C37" s="87">
        <f>AVERAGEIF(Cleaned_Data!$A$3:$A$92,A37,Cleaned_Data!$D$3:$D$92)</f>
        <v>456.6666667</v>
      </c>
    </row>
    <row r="38" ht="15.75" customHeight="1">
      <c r="A38" s="84" t="s">
        <v>39</v>
      </c>
      <c r="B38" s="85">
        <f>SUMIF(Cleaned_Data!$A$3:$A$92,A38,Cleaned_Data!$C$3:$C$92)</f>
        <v>641</v>
      </c>
      <c r="C38" s="85">
        <f>AVERAGEIF(Cleaned_Data!$A$3:$A$92,A38,Cleaned_Data!$D$3:$D$92)</f>
        <v>476.6666667</v>
      </c>
    </row>
    <row r="39" ht="15.75" customHeight="1">
      <c r="A39" s="86" t="s">
        <v>40</v>
      </c>
      <c r="B39" s="87">
        <f>SUMIF(Cleaned_Data!$A$3:$A$92,A39,Cleaned_Data!$C$3:$C$92)</f>
        <v>695</v>
      </c>
      <c r="C39" s="87">
        <f>AVERAGEIF(Cleaned_Data!$A$3:$A$92,A39,Cleaned_Data!$D$3:$D$92)</f>
        <v>496.6666667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8:C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90.0"/>
    <col customWidth="1" min="4" max="11" width="3.0"/>
    <col customWidth="1" min="12" max="26" width="8.71"/>
  </cols>
  <sheetData>
    <row r="1" ht="36.0" customHeight="1">
      <c r="B1" s="69" t="s">
        <v>75</v>
      </c>
      <c r="C1" s="12"/>
      <c r="D1" s="12"/>
      <c r="E1" s="12"/>
      <c r="F1" s="12"/>
      <c r="G1" s="12"/>
      <c r="H1" s="12"/>
      <c r="I1" s="12"/>
      <c r="J1" s="12"/>
      <c r="K1" s="13"/>
    </row>
    <row r="2" ht="18.0" customHeight="1">
      <c r="B2" s="70"/>
    </row>
    <row r="4" ht="25.5" customHeight="1">
      <c r="B4" s="88" t="s">
        <v>76</v>
      </c>
      <c r="C4" s="12"/>
      <c r="D4" s="12"/>
      <c r="E4" s="12"/>
      <c r="F4" s="12"/>
      <c r="G4" s="12"/>
      <c r="H4" s="12"/>
      <c r="I4" s="12"/>
      <c r="J4" s="12"/>
      <c r="K4" s="13"/>
    </row>
    <row r="5" ht="60.0" customHeight="1">
      <c r="B5" s="89" t="s">
        <v>77</v>
      </c>
      <c r="C5" s="90" t="s">
        <v>78</v>
      </c>
      <c r="D5" s="91"/>
      <c r="E5" s="91"/>
      <c r="F5" s="91"/>
      <c r="G5" s="91"/>
      <c r="H5" s="91"/>
      <c r="I5" s="91"/>
      <c r="J5" s="91"/>
      <c r="K5" s="92"/>
    </row>
    <row r="6" ht="54.75" customHeight="1">
      <c r="B6" s="93" t="s">
        <v>79</v>
      </c>
      <c r="C6" s="94" t="s">
        <v>80</v>
      </c>
      <c r="D6" s="91"/>
      <c r="E6" s="91"/>
      <c r="F6" s="91"/>
      <c r="G6" s="91"/>
      <c r="H6" s="91"/>
      <c r="I6" s="91"/>
      <c r="J6" s="91"/>
      <c r="K6" s="92"/>
    </row>
    <row r="7" ht="60.0" customHeight="1">
      <c r="B7" s="89" t="s">
        <v>81</v>
      </c>
      <c r="C7" s="90" t="s">
        <v>82</v>
      </c>
      <c r="D7" s="91"/>
      <c r="E7" s="91"/>
      <c r="F7" s="91"/>
      <c r="G7" s="91"/>
      <c r="H7" s="91"/>
      <c r="I7" s="91"/>
      <c r="J7" s="91"/>
      <c r="K7" s="92"/>
    </row>
    <row r="8" ht="64.5" customHeight="1">
      <c r="B8" s="93" t="s">
        <v>83</v>
      </c>
      <c r="C8" s="94" t="s">
        <v>84</v>
      </c>
      <c r="D8" s="91"/>
      <c r="E8" s="91"/>
      <c r="F8" s="91"/>
      <c r="G8" s="91"/>
      <c r="H8" s="91"/>
      <c r="I8" s="91"/>
      <c r="J8" s="91"/>
      <c r="K8" s="92"/>
    </row>
    <row r="10" ht="25.5" customHeight="1">
      <c r="B10" s="95" t="s">
        <v>85</v>
      </c>
      <c r="C10" s="12"/>
      <c r="D10" s="12"/>
      <c r="E10" s="12"/>
      <c r="F10" s="12"/>
      <c r="G10" s="12"/>
      <c r="H10" s="12"/>
      <c r="I10" s="12"/>
      <c r="J10" s="12"/>
      <c r="K10" s="13"/>
    </row>
    <row r="11" ht="60.0" customHeight="1">
      <c r="B11" s="96" t="s">
        <v>86</v>
      </c>
      <c r="C11" s="97" t="s">
        <v>87</v>
      </c>
      <c r="D11" s="91"/>
      <c r="E11" s="91"/>
      <c r="F11" s="91"/>
      <c r="G11" s="91"/>
      <c r="H11" s="91"/>
      <c r="I11" s="91"/>
      <c r="J11" s="91"/>
      <c r="K11" s="92"/>
    </row>
    <row r="12" ht="54.75" customHeight="1">
      <c r="B12" s="93" t="s">
        <v>88</v>
      </c>
      <c r="C12" s="94" t="s">
        <v>89</v>
      </c>
      <c r="D12" s="91"/>
      <c r="E12" s="91"/>
      <c r="F12" s="91"/>
      <c r="G12" s="91"/>
      <c r="H12" s="91"/>
      <c r="I12" s="91"/>
      <c r="J12" s="91"/>
      <c r="K12" s="92"/>
    </row>
    <row r="13" ht="60.0" customHeight="1">
      <c r="B13" s="96" t="s">
        <v>90</v>
      </c>
      <c r="C13" s="97" t="s">
        <v>91</v>
      </c>
      <c r="D13" s="91"/>
      <c r="E13" s="91"/>
      <c r="F13" s="91"/>
      <c r="G13" s="91"/>
      <c r="H13" s="91"/>
      <c r="I13" s="91"/>
      <c r="J13" s="91"/>
      <c r="K13" s="92"/>
    </row>
    <row r="14" ht="64.5" customHeight="1">
      <c r="B14" s="93" t="s">
        <v>92</v>
      </c>
      <c r="C14" s="94" t="s">
        <v>93</v>
      </c>
      <c r="D14" s="91"/>
      <c r="E14" s="91"/>
      <c r="F14" s="91"/>
      <c r="G14" s="91"/>
      <c r="H14" s="91"/>
      <c r="I14" s="91"/>
      <c r="J14" s="91"/>
      <c r="K14" s="92"/>
    </row>
    <row r="16" ht="15.75" customHeight="1">
      <c r="B16" s="9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0:K10"/>
    <mergeCell ref="C11:K11"/>
    <mergeCell ref="C12:K12"/>
    <mergeCell ref="C13:K13"/>
    <mergeCell ref="C14:K14"/>
    <mergeCell ref="B16:K16"/>
    <mergeCell ref="B1:K1"/>
    <mergeCell ref="B2:K2"/>
    <mergeCell ref="B4:K4"/>
    <mergeCell ref="C5:K5"/>
    <mergeCell ref="C6:K6"/>
    <mergeCell ref="C7:K7"/>
    <mergeCell ref="C8:K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2026-05-29T08:31:20Z</dcterms:created>
  <dc:creator>openpyxl</dc:creator>
</cp:coreProperties>
</file>